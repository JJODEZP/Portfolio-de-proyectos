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INBOX" sheetId="3" state="visible" r:id="rId3"/>
    <sheet xmlns:r="http://schemas.openxmlformats.org/officeDocument/2006/relationships" name="NORMALIZED" sheetId="4" state="visible" r:id="rId4"/>
    <sheet xmlns:r="http://schemas.openxmlformats.org/officeDocument/2006/relationships" name="RISK_ENGINE" sheetId="5" state="visible" r:id="rId5"/>
    <sheet xmlns:r="http://schemas.openxmlformats.org/officeDocument/2006/relationships" name="PRIORITIZATION" sheetId="6" state="visible" r:id="rId6"/>
    <sheet xmlns:r="http://schemas.openxmlformats.org/officeDocument/2006/relationships" name="CAPACITY_PLAN" sheetId="7" state="visible" r:id="rId7"/>
    <sheet xmlns:r="http://schemas.openxmlformats.org/officeDocument/2006/relationships" name="COMMITTEE_PACK" sheetId="8" state="visible" r:id="rId8"/>
    <sheet xmlns:r="http://schemas.openxmlformats.org/officeDocument/2006/relationships" name="CHANGELOG" sheetId="9" state="visible" r:id="rId9"/>
    <sheet xmlns:r="http://schemas.openxmlformats.org/officeDocument/2006/relationships" name="PROMPT_PACK" sheetId="10" state="visible" r:id="rId10"/>
    <sheet xmlns:r="http://schemas.openxmlformats.org/officeDocument/2006/relationships" name="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F172A"/>
    </font>
    <font>
      <b val="1"/>
      <color rgb="001E3A8A"/>
    </font>
    <font>
      <b val="1"/>
      <color rgb="00FFFFFF"/>
    </font>
    <font>
      <color rgb="000000FF"/>
    </font>
    <font>
      <color rgb="0064748B"/>
    </font>
    <font>
      <color rgb="00000000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1E3A8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5" borderId="1" pivotButton="0" quotePrefix="0" xfId="0"/>
    <xf numFmtId="0" fontId="6" fillId="0" borderId="1" pivotButton="0" quotePrefix="0" xfId="0"/>
    <xf numFmtId="0" fontId="4" fillId="4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wrapText="1"/>
    </xf>
    <xf numFmtId="0" fontId="7" fillId="0" borderId="1" pivotButton="0" quotePrefix="0" xfId="0"/>
    <xf numFmtId="1" fontId="0" fillId="0" borderId="1" pivotButton="0" quotePrefix="0" xfId="0"/>
    <xf numFmtId="164" fontId="5" fillId="5" borderId="1" pivotButton="0" quotePrefix="0" xfId="0"/>
    <xf numFmtId="0" fontId="8" fillId="0" borderId="1" pivotButton="0" quotePrefix="0" xfId="0"/>
    <xf numFmtId="164" fontId="8" fillId="0" borderId="1" pivotButton="0" quotePrefix="0" xfId="0"/>
    <xf numFmtId="1" fontId="7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" fontId="5" fillId="5" borderId="1" pivotButton="0" quotePrefix="0" xfId="0"/>
    <xf numFmtId="165" fontId="5" fillId="5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EEF2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RAG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'DASHBOARD'!$D$5:$D$7</f>
            </numRef>
          </cat>
          <val>
            <numRef>
              <f>'DASHBOARD'!$E$5:$E$7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AI PMO / Product Ops Automation Layer — Template</t>
        </is>
      </c>
    </row>
    <row r="3">
      <c r="A3" s="2" t="inlineStr">
        <is>
          <t>Qué es</t>
        </is>
      </c>
    </row>
    <row r="4">
      <c r="A4" t="inlineStr">
        <is>
          <t>Un 'automation layer' para PMO / Product Ops: ingiere updates, normaliza iniciativas, calcula riesgo y priorización, y genera un paquete semanal para comité.</t>
        </is>
      </c>
    </row>
    <row r="5">
      <c r="A5" t="inlineStr">
        <is>
          <t>Está diseñado para funcionar con reglas + IA (prompts listos). El objetivo: menos reporte manual, más claridad y decisiones más rápidas.</t>
        </is>
      </c>
    </row>
    <row r="7">
      <c r="A7" s="2" t="inlineStr">
        <is>
          <t>Cómo usar (2 minutos)</t>
        </is>
      </c>
    </row>
    <row r="8">
      <c r="A8" t="inlineStr">
        <is>
          <t>1) Pega actualizaciones en INBOX (puede venir de Jira/Asana/Notion/email).</t>
        </is>
      </c>
    </row>
    <row r="9">
      <c r="A9" t="inlineStr">
        <is>
          <t>2) Mantén el catálogo de iniciativas en NORMALIZED (1 fila por iniciativa).</t>
        </is>
      </c>
    </row>
    <row r="10">
      <c r="A10" t="inlineStr">
        <is>
          <t>3) Revisa RISK_ENGINE y PRIORITIZATION: el modelo calcula RAG, risk score, WSJF/RICE y cola de decisiones.</t>
        </is>
      </c>
    </row>
    <row r="11">
      <c r="A11" t="inlineStr">
        <is>
          <t>4) Abre COMMITTEE_PACK: tendrás Top prioridades, bloqueos, decisiones requeridas y narrativa sugerida.</t>
        </is>
      </c>
    </row>
    <row r="12">
      <c r="A12" t="inlineStr">
        <is>
          <t>5) Si quieres IA real: copia el PROMPT_PACK y pega en ChatGPT con el texto del INBOX (anonimizado).</t>
        </is>
      </c>
    </row>
    <row r="15">
      <c r="A15" s="2" t="inlineStr">
        <is>
          <t>Integración recomendada (realista)</t>
        </is>
      </c>
    </row>
    <row r="16">
      <c r="A16" t="inlineStr">
        <is>
          <t>• Fuente: Jira/Asana → export CSV semanal (o automatización) → pegar en INBOX.</t>
        </is>
      </c>
    </row>
    <row r="17">
      <c r="A17" t="inlineStr">
        <is>
          <t>• Alternativa: Power Automate / Zapier / n8n para append automático.</t>
        </is>
      </c>
    </row>
    <row r="18">
      <c r="A18" t="inlineStr">
        <is>
          <t>• Output: COMMITTEE_PACK se pega en PPT/Doc para comité.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</cols>
  <sheetData>
    <row r="1" ht="28" customHeight="1">
      <c r="A1" s="1" t="inlineStr">
        <is>
          <t>CONFIG — Lists, Weights, Thresholds</t>
        </is>
      </c>
    </row>
    <row r="3">
      <c r="A3" s="3" t="inlineStr">
        <is>
          <t>Controles principales</t>
        </is>
      </c>
      <c r="B3" s="21" t="n"/>
      <c r="C3" s="21" t="n"/>
      <c r="D3" s="21" t="n"/>
      <c r="E3" s="21" t="n"/>
      <c r="F3" s="21" t="n"/>
      <c r="G3" s="21" t="n"/>
      <c r="H3" s="22" t="n"/>
    </row>
    <row r="4" ht="20" customHeight="1">
      <c r="A4" s="4" t="inlineStr">
        <is>
          <t>Parámetro</t>
        </is>
      </c>
      <c r="B4" s="4" t="inlineStr">
        <is>
          <t>Valor</t>
        </is>
      </c>
      <c r="C4" s="4" t="inlineStr">
        <is>
          <t>Comentario</t>
        </is>
      </c>
    </row>
    <row r="5">
      <c r="A5" s="5" t="inlineStr">
        <is>
          <t>Semana / comité (fecha)</t>
        </is>
      </c>
      <c r="B5" s="6" t="inlineStr">
        <is>
          <t>2026-02-23</t>
        </is>
      </c>
      <c r="C5" s="7" t="inlineStr">
        <is>
          <t>Fecha del comité semanal</t>
        </is>
      </c>
    </row>
    <row r="6">
      <c r="A6" s="5" t="inlineStr">
        <is>
          <t>Owner default</t>
        </is>
      </c>
      <c r="B6" s="6" t="inlineStr">
        <is>
          <t>PMO / Product Ops</t>
        </is>
      </c>
      <c r="C6" s="7" t="inlineStr">
        <is>
          <t>Rol dueño por defecto</t>
        </is>
      </c>
    </row>
    <row r="7">
      <c r="A7" s="5" t="inlineStr">
        <is>
          <t>RAG thresholds (risk score)</t>
        </is>
      </c>
      <c r="B7" s="6" t="inlineStr">
        <is>
          <t>0-34=GREEN; 35-64=AMBER; 65+=RED</t>
        </is>
      </c>
      <c r="C7" s="7" t="inlineStr">
        <is>
          <t>Cortes para semáforo</t>
        </is>
      </c>
    </row>
    <row r="8">
      <c r="A8" s="5" t="inlineStr">
        <is>
          <t>WSJF weights (BV, TC, RR, JS)</t>
        </is>
      </c>
      <c r="B8" s="6" t="inlineStr">
        <is>
          <t>1.0 / 1.0 / 1.0 / 1.0</t>
        </is>
      </c>
      <c r="C8" s="7" t="inlineStr">
        <is>
          <t>Pesos para WSJF</t>
        </is>
      </c>
    </row>
    <row r="9">
      <c r="A9" s="5" t="inlineStr">
        <is>
          <t>RICE weights (I, C, E)</t>
        </is>
      </c>
      <c r="B9" s="6" t="inlineStr">
        <is>
          <t>1.0 / 1.0 / 1.0</t>
        </is>
      </c>
      <c r="C9" s="7" t="inlineStr">
        <is>
          <t>Pesos para RICE</t>
        </is>
      </c>
    </row>
    <row r="10">
      <c r="A10" s="5" t="inlineStr">
        <is>
          <t>Min. score para ir a comité</t>
        </is>
      </c>
      <c r="B10" s="6" t="n">
        <v>70</v>
      </c>
      <c r="C10" s="7" t="inlineStr">
        <is>
          <t>Filtro de prioridades</t>
        </is>
      </c>
    </row>
    <row r="12">
      <c r="A12" s="3" t="inlineStr">
        <is>
          <t>Listas maestras</t>
        </is>
      </c>
      <c r="B12" s="21" t="n"/>
      <c r="C12" s="21" t="n"/>
      <c r="D12" s="21" t="n"/>
      <c r="E12" s="21" t="n"/>
      <c r="F12" s="21" t="n"/>
      <c r="G12" s="21" t="n"/>
      <c r="H12" s="22" t="n"/>
    </row>
    <row r="13" ht="20" customHeight="1">
      <c r="A13" s="4" t="inlineStr">
        <is>
          <t>Tipo</t>
        </is>
      </c>
      <c r="B13" s="4" t="inlineStr">
        <is>
          <t>Valor</t>
        </is>
      </c>
    </row>
    <row r="14">
      <c r="A14" s="5" t="inlineStr">
        <is>
          <t>Status</t>
        </is>
      </c>
      <c r="B14" s="5" t="inlineStr">
        <is>
          <t>Discovery</t>
        </is>
      </c>
    </row>
    <row r="15">
      <c r="A15" s="5" t="inlineStr">
        <is>
          <t>Status</t>
        </is>
      </c>
      <c r="B15" s="5" t="inlineStr">
        <is>
          <t>Build</t>
        </is>
      </c>
    </row>
    <row r="16">
      <c r="A16" s="5" t="inlineStr">
        <is>
          <t>Status</t>
        </is>
      </c>
      <c r="B16" s="5" t="inlineStr">
        <is>
          <t>Test</t>
        </is>
      </c>
    </row>
    <row r="17">
      <c r="A17" s="5" t="inlineStr">
        <is>
          <t>Status</t>
        </is>
      </c>
      <c r="B17" s="5" t="inlineStr">
        <is>
          <t>Launch</t>
        </is>
      </c>
    </row>
    <row r="18">
      <c r="A18" s="5" t="inlineStr">
        <is>
          <t>Status</t>
        </is>
      </c>
      <c r="B18" s="5" t="inlineStr">
        <is>
          <t>Hold</t>
        </is>
      </c>
    </row>
    <row r="19">
      <c r="A19" s="5" t="inlineStr">
        <is>
          <t>Stage</t>
        </is>
      </c>
      <c r="B19" s="5" t="inlineStr">
        <is>
          <t>Idea</t>
        </is>
      </c>
    </row>
    <row r="20">
      <c r="A20" s="5" t="inlineStr">
        <is>
          <t>Stage</t>
        </is>
      </c>
      <c r="B20" s="5" t="inlineStr">
        <is>
          <t>MVP</t>
        </is>
      </c>
    </row>
    <row r="21">
      <c r="A21" s="5" t="inlineStr">
        <is>
          <t>Stage</t>
        </is>
      </c>
      <c r="B21" s="5" t="inlineStr">
        <is>
          <t>Scale</t>
        </is>
      </c>
    </row>
    <row r="22">
      <c r="A22" s="5" t="inlineStr">
        <is>
          <t>Stage</t>
        </is>
      </c>
      <c r="B22" s="5" t="inlineStr">
        <is>
          <t>Run</t>
        </is>
      </c>
    </row>
    <row r="23">
      <c r="A23" s="5" t="inlineStr">
        <is>
          <t>Domain</t>
        </is>
      </c>
      <c r="B23" s="5" t="inlineStr">
        <is>
          <t>Producto</t>
        </is>
      </c>
    </row>
    <row r="24">
      <c r="A24" s="5" t="inlineStr">
        <is>
          <t>Domain</t>
        </is>
      </c>
      <c r="B24" s="5" t="inlineStr">
        <is>
          <t>Operaciones</t>
        </is>
      </c>
    </row>
    <row r="25">
      <c r="A25" s="5" t="inlineStr">
        <is>
          <t>Domain</t>
        </is>
      </c>
      <c r="B25" s="5" t="inlineStr">
        <is>
          <t>Finanzas</t>
        </is>
      </c>
    </row>
    <row r="26">
      <c r="A26" s="5" t="inlineStr">
        <is>
          <t>Domain</t>
        </is>
      </c>
      <c r="B26" s="5" t="inlineStr">
        <is>
          <t>Datos/IA</t>
        </is>
      </c>
    </row>
    <row r="27">
      <c r="A27" s="5" t="inlineStr">
        <is>
          <t>DecisionType</t>
        </is>
      </c>
      <c r="B27" s="5" t="inlineStr">
        <is>
          <t>Go/No-Go</t>
        </is>
      </c>
    </row>
    <row r="28">
      <c r="A28" s="5" t="inlineStr">
        <is>
          <t>DecisionType</t>
        </is>
      </c>
      <c r="B28" s="5" t="inlineStr">
        <is>
          <t>Prioridad</t>
        </is>
      </c>
    </row>
    <row r="29">
      <c r="A29" s="5" t="inlineStr">
        <is>
          <t>DecisionType</t>
        </is>
      </c>
      <c r="B29" s="5" t="inlineStr">
        <is>
          <t>Scope</t>
        </is>
      </c>
    </row>
    <row r="30">
      <c r="A30" s="5" t="inlineStr">
        <is>
          <t>DecisionType</t>
        </is>
      </c>
      <c r="B30" s="5" t="inlineStr">
        <is>
          <t>Resourcing</t>
        </is>
      </c>
    </row>
  </sheetData>
  <mergeCells count="3">
    <mergeCell ref="A12:H12"/>
    <mergeCell ref="A3:H3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6" customWidth="1" min="5" max="5"/>
    <col width="52" customWidth="1" min="6" max="6"/>
    <col width="16" customWidth="1" min="7" max="7"/>
    <col width="16" customWidth="1" min="8" max="8"/>
    <col width="14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INBOX — Raw Updates (paste from Jira/Asana/Emails)</t>
        </is>
      </c>
    </row>
    <row r="3" ht="20" customHeight="1">
      <c r="A3" s="4" t="inlineStr">
        <is>
          <t>Date</t>
        </is>
      </c>
      <c r="B3" s="4" t="inlineStr">
        <is>
          <t>Source</t>
        </is>
      </c>
      <c r="C3" s="4" t="inlineStr">
        <is>
          <t>Initiative_ID</t>
        </is>
      </c>
      <c r="D3" s="4" t="inlineStr">
        <is>
          <t>Initiative_Name</t>
        </is>
      </c>
      <c r="E3" s="4" t="inlineStr">
        <is>
          <t>Owner</t>
        </is>
      </c>
      <c r="F3" s="4" t="inlineStr">
        <is>
          <t>Update_Text</t>
        </is>
      </c>
      <c r="G3" s="4" t="inlineStr">
        <is>
          <t>Link</t>
        </is>
      </c>
      <c r="H3" s="4" t="inlineStr">
        <is>
          <t>Tags</t>
        </is>
      </c>
      <c r="I3" s="4" t="inlineStr">
        <is>
          <t>Needs_Decision?</t>
        </is>
      </c>
      <c r="J3" s="4" t="inlineStr">
        <is>
          <t>Raw_Signal (keywords)</t>
        </is>
      </c>
      <c r="K3" s="8" t="inlineStr">
        <is>
          <t>Blocked_Flag</t>
        </is>
      </c>
      <c r="L3" s="8" t="inlineStr">
        <is>
          <t>Delay_Flag</t>
        </is>
      </c>
      <c r="M3" s="8" t="inlineStr">
        <is>
          <t>Scope_Flag</t>
        </is>
      </c>
      <c r="N3" s="8" t="inlineStr">
        <is>
          <t>Budget_Flag</t>
        </is>
      </c>
    </row>
    <row r="4" ht="34" customHeight="1">
      <c r="A4" s="9" t="inlineStr">
        <is>
          <t>2026-02-20</t>
        </is>
      </c>
      <c r="B4" s="9" t="inlineStr">
        <is>
          <t>Jira</t>
        </is>
      </c>
      <c r="C4" s="9" t="inlineStr">
        <is>
          <t>INIT-001</t>
        </is>
      </c>
      <c r="D4" s="9" t="inlineStr">
        <is>
          <t>Iniciativa A (anon)</t>
        </is>
      </c>
      <c r="E4" s="9" t="inlineStr">
        <is>
          <t>PM 1</t>
        </is>
      </c>
      <c r="F4" s="10" t="inlineStr">
        <is>
          <t>Bloqueado por dependencia de Data. Necesita decisión de prioridad y recursos.</t>
        </is>
      </c>
      <c r="G4" s="9" t="inlineStr"/>
      <c r="H4" s="9" t="inlineStr">
        <is>
          <t>bloqueo;datos</t>
        </is>
      </c>
      <c r="I4" s="9" t="inlineStr">
        <is>
          <t>YES</t>
        </is>
      </c>
      <c r="J4" s="11" t="inlineStr">
        <is>
          <t>blocked;dependency</t>
        </is>
      </c>
      <c r="K4" s="23" t="n">
        <v>0</v>
      </c>
      <c r="L4" s="23" t="n">
        <v>0</v>
      </c>
      <c r="M4" s="23" t="n">
        <v>0</v>
      </c>
      <c r="N4" s="23" t="n">
        <v>0</v>
      </c>
    </row>
    <row r="5" ht="34" customHeight="1">
      <c r="A5" s="9" t="inlineStr">
        <is>
          <t>2026-02-20</t>
        </is>
      </c>
      <c r="B5" s="9" t="inlineStr">
        <is>
          <t>Email</t>
        </is>
      </c>
      <c r="C5" s="9" t="inlineStr">
        <is>
          <t>INIT-003</t>
        </is>
      </c>
      <c r="D5" s="9" t="inlineStr">
        <is>
          <t>Iniciativa C (anon)</t>
        </is>
      </c>
      <c r="E5" s="9" t="inlineStr">
        <is>
          <t>PM 2</t>
        </is>
      </c>
      <c r="F5" s="10" t="inlineStr">
        <is>
          <t>Avance 70%. Riesgo: proveedor atrasado 2 semanas. Mitigación propuesta.</t>
        </is>
      </c>
      <c r="G5" s="9" t="inlineStr"/>
      <c r="H5" s="9" t="inlineStr">
        <is>
          <t>riesgo;proveedor</t>
        </is>
      </c>
      <c r="I5" s="9" t="inlineStr">
        <is>
          <t>NO</t>
        </is>
      </c>
      <c r="J5" s="11" t="inlineStr">
        <is>
          <t>risk;delay</t>
        </is>
      </c>
      <c r="K5" s="23" t="n">
        <v>0</v>
      </c>
      <c r="L5" s="23" t="n">
        <v>0</v>
      </c>
      <c r="M5" s="23" t="n">
        <v>0</v>
      </c>
      <c r="N5" s="23" t="n">
        <v>0</v>
      </c>
    </row>
    <row r="6" ht="34" customHeight="1">
      <c r="A6" s="9" t="inlineStr">
        <is>
          <t>2026-02-19</t>
        </is>
      </c>
      <c r="B6" s="9" t="inlineStr">
        <is>
          <t>Asana</t>
        </is>
      </c>
      <c r="C6" s="9" t="inlineStr">
        <is>
          <t>INIT-002</t>
        </is>
      </c>
      <c r="D6" s="9" t="inlineStr">
        <is>
          <t>Iniciativa B (anon)</t>
        </is>
      </c>
      <c r="E6" s="9" t="inlineStr">
        <is>
          <t>PM 3</t>
        </is>
      </c>
      <c r="F6" s="10" t="inlineStr">
        <is>
          <t>Scope cambió. Estimación sube +15%. Se requiere aprobación de comité.</t>
        </is>
      </c>
      <c r="G6" s="9" t="inlineStr"/>
      <c r="H6" s="9" t="inlineStr">
        <is>
          <t>scope;cost</t>
        </is>
      </c>
      <c r="I6" s="9" t="inlineStr">
        <is>
          <t>YES</t>
        </is>
      </c>
      <c r="J6" s="11" t="inlineStr">
        <is>
          <t>scope;budget</t>
        </is>
      </c>
      <c r="K6" s="23" t="n">
        <v>0</v>
      </c>
      <c r="L6" s="23" t="n">
        <v>0</v>
      </c>
      <c r="M6" s="23" t="n">
        <v>0</v>
      </c>
      <c r="N6" s="23" t="n">
        <v>0</v>
      </c>
    </row>
    <row r="7">
      <c r="K7" s="23" t="n">
        <v>0</v>
      </c>
      <c r="L7" s="23" t="n">
        <v>0</v>
      </c>
      <c r="M7" s="23" t="n">
        <v>0</v>
      </c>
      <c r="N7" s="23" t="n">
        <v>0</v>
      </c>
    </row>
    <row r="8">
      <c r="K8" s="23" t="n">
        <v>0</v>
      </c>
      <c r="L8" s="23" t="n">
        <v>0</v>
      </c>
      <c r="M8" s="23" t="n">
        <v>0</v>
      </c>
      <c r="N8" s="23" t="n">
        <v>0</v>
      </c>
    </row>
    <row r="9">
      <c r="K9" s="23" t="n">
        <v>0</v>
      </c>
      <c r="L9" s="23" t="n">
        <v>0</v>
      </c>
      <c r="M9" s="23" t="n">
        <v>0</v>
      </c>
      <c r="N9" s="23" t="n">
        <v>0</v>
      </c>
    </row>
    <row r="10">
      <c r="K10" s="23" t="n">
        <v>0</v>
      </c>
      <c r="L10" s="23" t="n">
        <v>0</v>
      </c>
      <c r="M10" s="23" t="n">
        <v>0</v>
      </c>
      <c r="N10" s="23" t="n">
        <v>0</v>
      </c>
    </row>
    <row r="11">
      <c r="K11" s="23" t="n">
        <v>0</v>
      </c>
      <c r="L11" s="23" t="n">
        <v>0</v>
      </c>
      <c r="M11" s="23" t="n">
        <v>0</v>
      </c>
      <c r="N11" s="23" t="n">
        <v>0</v>
      </c>
    </row>
    <row r="12">
      <c r="K12" s="23" t="n">
        <v>0</v>
      </c>
      <c r="L12" s="23" t="n">
        <v>0</v>
      </c>
      <c r="M12" s="23" t="n">
        <v>0</v>
      </c>
      <c r="N12" s="23" t="n">
        <v>0</v>
      </c>
    </row>
    <row r="13">
      <c r="K13" s="23" t="n">
        <v>0</v>
      </c>
      <c r="L13" s="23" t="n">
        <v>0</v>
      </c>
      <c r="M13" s="23" t="n">
        <v>0</v>
      </c>
      <c r="N13" s="23" t="n">
        <v>0</v>
      </c>
    </row>
    <row r="14">
      <c r="K14" s="23" t="n">
        <v>0</v>
      </c>
      <c r="L14" s="23" t="n">
        <v>0</v>
      </c>
      <c r="M14" s="23" t="n">
        <v>0</v>
      </c>
      <c r="N14" s="23" t="n">
        <v>0</v>
      </c>
    </row>
    <row r="15">
      <c r="K15" s="23" t="n">
        <v>0</v>
      </c>
      <c r="L15" s="23" t="n">
        <v>0</v>
      </c>
      <c r="M15" s="23" t="n">
        <v>0</v>
      </c>
      <c r="N15" s="23" t="n">
        <v>0</v>
      </c>
    </row>
    <row r="16">
      <c r="K16" s="23" t="n">
        <v>0</v>
      </c>
      <c r="L16" s="23" t="n">
        <v>0</v>
      </c>
      <c r="M16" s="23" t="n">
        <v>0</v>
      </c>
      <c r="N16" s="23" t="n">
        <v>0</v>
      </c>
    </row>
    <row r="17">
      <c r="K17" s="23" t="n">
        <v>0</v>
      </c>
      <c r="L17" s="23" t="n">
        <v>0</v>
      </c>
      <c r="M17" s="23" t="n">
        <v>0</v>
      </c>
      <c r="N17" s="23" t="n">
        <v>0</v>
      </c>
    </row>
    <row r="18">
      <c r="K18" s="23" t="n">
        <v>0</v>
      </c>
      <c r="L18" s="23" t="n">
        <v>0</v>
      </c>
      <c r="M18" s="23" t="n">
        <v>0</v>
      </c>
      <c r="N18" s="23" t="n">
        <v>0</v>
      </c>
    </row>
    <row r="19">
      <c r="K19" s="23" t="n">
        <v>0</v>
      </c>
      <c r="L19" s="23" t="n">
        <v>0</v>
      </c>
      <c r="M19" s="23" t="n">
        <v>0</v>
      </c>
      <c r="N19" s="23" t="n">
        <v>0</v>
      </c>
    </row>
    <row r="20">
      <c r="K20" s="23" t="n">
        <v>0</v>
      </c>
      <c r="L20" s="23" t="n">
        <v>0</v>
      </c>
      <c r="M20" s="23" t="n">
        <v>0</v>
      </c>
      <c r="N20" s="23" t="n">
        <v>0</v>
      </c>
    </row>
    <row r="21">
      <c r="K21" s="23" t="n">
        <v>0</v>
      </c>
      <c r="L21" s="23" t="n">
        <v>0</v>
      </c>
      <c r="M21" s="23" t="n">
        <v>0</v>
      </c>
      <c r="N21" s="23" t="n">
        <v>0</v>
      </c>
    </row>
    <row r="22">
      <c r="K22" s="23" t="n">
        <v>0</v>
      </c>
      <c r="L22" s="23" t="n">
        <v>0</v>
      </c>
      <c r="M22" s="23" t="n">
        <v>0</v>
      </c>
      <c r="N22" s="23" t="n">
        <v>0</v>
      </c>
    </row>
    <row r="23">
      <c r="K23" s="23" t="n">
        <v>0</v>
      </c>
      <c r="L23" s="23" t="n">
        <v>0</v>
      </c>
      <c r="M23" s="23" t="n">
        <v>0</v>
      </c>
      <c r="N23" s="23" t="n">
        <v>0</v>
      </c>
    </row>
    <row r="24">
      <c r="K24" s="23" t="n">
        <v>0</v>
      </c>
      <c r="L24" s="23" t="n">
        <v>0</v>
      </c>
      <c r="M24" s="23" t="n">
        <v>0</v>
      </c>
      <c r="N24" s="23" t="n">
        <v>0</v>
      </c>
    </row>
    <row r="25">
      <c r="K25" s="23" t="n">
        <v>0</v>
      </c>
      <c r="L25" s="23" t="n">
        <v>0</v>
      </c>
      <c r="M25" s="23" t="n">
        <v>0</v>
      </c>
      <c r="N25" s="23" t="n">
        <v>0</v>
      </c>
    </row>
    <row r="26">
      <c r="K26" s="23" t="n">
        <v>0</v>
      </c>
      <c r="L26" s="23" t="n">
        <v>0</v>
      </c>
      <c r="M26" s="23" t="n">
        <v>0</v>
      </c>
      <c r="N26" s="23" t="n">
        <v>0</v>
      </c>
    </row>
    <row r="27">
      <c r="K27" s="23" t="n">
        <v>0</v>
      </c>
      <c r="L27" s="23" t="n">
        <v>0</v>
      </c>
      <c r="M27" s="23" t="n">
        <v>0</v>
      </c>
      <c r="N27" s="23" t="n">
        <v>0</v>
      </c>
    </row>
    <row r="28">
      <c r="K28" s="23" t="n">
        <v>0</v>
      </c>
      <c r="L28" s="23" t="n">
        <v>0</v>
      </c>
      <c r="M28" s="23" t="n">
        <v>0</v>
      </c>
      <c r="N28" s="23" t="n">
        <v>0</v>
      </c>
    </row>
    <row r="29">
      <c r="K29" s="23" t="n">
        <v>0</v>
      </c>
      <c r="L29" s="23" t="n">
        <v>0</v>
      </c>
      <c r="M29" s="23" t="n">
        <v>0</v>
      </c>
      <c r="N29" s="23" t="n">
        <v>0</v>
      </c>
    </row>
    <row r="30">
      <c r="K30" s="23" t="n">
        <v>0</v>
      </c>
      <c r="L30" s="23" t="n">
        <v>0</v>
      </c>
      <c r="M30" s="23" t="n">
        <v>0</v>
      </c>
      <c r="N30" s="23" t="n">
        <v>0</v>
      </c>
    </row>
    <row r="31">
      <c r="K31" s="23" t="n">
        <v>0</v>
      </c>
      <c r="L31" s="23" t="n">
        <v>0</v>
      </c>
      <c r="M31" s="23" t="n">
        <v>0</v>
      </c>
      <c r="N31" s="23" t="n">
        <v>0</v>
      </c>
    </row>
    <row r="32">
      <c r="K32" s="23" t="n">
        <v>0</v>
      </c>
      <c r="L32" s="23" t="n">
        <v>0</v>
      </c>
      <c r="M32" s="23" t="n">
        <v>0</v>
      </c>
      <c r="N32" s="23" t="n">
        <v>0</v>
      </c>
    </row>
    <row r="33">
      <c r="K33" s="23" t="n">
        <v>0</v>
      </c>
      <c r="L33" s="23" t="n">
        <v>0</v>
      </c>
      <c r="M33" s="23" t="n">
        <v>0</v>
      </c>
      <c r="N33" s="23" t="n">
        <v>0</v>
      </c>
    </row>
    <row r="34">
      <c r="K34" s="23" t="n">
        <v>0</v>
      </c>
      <c r="L34" s="23" t="n">
        <v>0</v>
      </c>
      <c r="M34" s="23" t="n">
        <v>0</v>
      </c>
      <c r="N34" s="23" t="n">
        <v>0</v>
      </c>
    </row>
    <row r="35">
      <c r="K35" s="23" t="n">
        <v>0</v>
      </c>
      <c r="L35" s="23" t="n">
        <v>0</v>
      </c>
      <c r="M35" s="23" t="n">
        <v>0</v>
      </c>
      <c r="N35" s="23" t="n">
        <v>0</v>
      </c>
    </row>
    <row r="36">
      <c r="K36" s="23" t="n">
        <v>0</v>
      </c>
      <c r="L36" s="23" t="n">
        <v>0</v>
      </c>
      <c r="M36" s="23" t="n">
        <v>0</v>
      </c>
      <c r="N36" s="23" t="n">
        <v>0</v>
      </c>
    </row>
    <row r="37">
      <c r="K37" s="23" t="n">
        <v>0</v>
      </c>
      <c r="L37" s="23" t="n">
        <v>0</v>
      </c>
      <c r="M37" s="23" t="n">
        <v>0</v>
      </c>
      <c r="N37" s="23" t="n">
        <v>0</v>
      </c>
    </row>
    <row r="38">
      <c r="K38" s="23" t="n">
        <v>0</v>
      </c>
      <c r="L38" s="23" t="n">
        <v>0</v>
      </c>
      <c r="M38" s="23" t="n">
        <v>0</v>
      </c>
      <c r="N38" s="23" t="n">
        <v>0</v>
      </c>
    </row>
    <row r="39">
      <c r="K39" s="23" t="n">
        <v>0</v>
      </c>
      <c r="L39" s="23" t="n">
        <v>0</v>
      </c>
      <c r="M39" s="23" t="n">
        <v>0</v>
      </c>
      <c r="N39" s="23" t="n">
        <v>0</v>
      </c>
    </row>
    <row r="40">
      <c r="K40" s="23" t="n">
        <v>0</v>
      </c>
      <c r="L40" s="23" t="n">
        <v>0</v>
      </c>
      <c r="M40" s="23" t="n">
        <v>0</v>
      </c>
      <c r="N40" s="23" t="n">
        <v>0</v>
      </c>
    </row>
    <row r="41">
      <c r="K41" s="23" t="n">
        <v>0</v>
      </c>
      <c r="L41" s="23" t="n">
        <v>0</v>
      </c>
      <c r="M41" s="23" t="n">
        <v>0</v>
      </c>
      <c r="N41" s="23" t="n">
        <v>0</v>
      </c>
    </row>
    <row r="42">
      <c r="K42" s="23" t="n">
        <v>0</v>
      </c>
      <c r="L42" s="23" t="n">
        <v>0</v>
      </c>
      <c r="M42" s="23" t="n">
        <v>0</v>
      </c>
      <c r="N42" s="23" t="n">
        <v>0</v>
      </c>
    </row>
    <row r="43">
      <c r="K43" s="23" t="n">
        <v>0</v>
      </c>
      <c r="L43" s="23" t="n">
        <v>0</v>
      </c>
      <c r="M43" s="23" t="n">
        <v>0</v>
      </c>
      <c r="N43" s="23" t="n">
        <v>0</v>
      </c>
    </row>
    <row r="44">
      <c r="K44" s="23" t="n">
        <v>0</v>
      </c>
      <c r="L44" s="23" t="n">
        <v>0</v>
      </c>
      <c r="M44" s="23" t="n">
        <v>0</v>
      </c>
      <c r="N44" s="23" t="n">
        <v>0</v>
      </c>
    </row>
    <row r="45">
      <c r="K45" s="23" t="n">
        <v>0</v>
      </c>
      <c r="L45" s="23" t="n">
        <v>0</v>
      </c>
      <c r="M45" s="23" t="n">
        <v>0</v>
      </c>
      <c r="N45" s="23" t="n">
        <v>0</v>
      </c>
    </row>
    <row r="46">
      <c r="K46" s="23" t="n">
        <v>0</v>
      </c>
      <c r="L46" s="23" t="n">
        <v>0</v>
      </c>
      <c r="M46" s="23" t="n">
        <v>0</v>
      </c>
      <c r="N46" s="23" t="n">
        <v>0</v>
      </c>
    </row>
    <row r="47">
      <c r="K47" s="23" t="n">
        <v>0</v>
      </c>
      <c r="L47" s="23" t="n">
        <v>0</v>
      </c>
      <c r="M47" s="23" t="n">
        <v>0</v>
      </c>
      <c r="N47" s="23" t="n">
        <v>0</v>
      </c>
    </row>
    <row r="48">
      <c r="K48" s="23" t="n">
        <v>0</v>
      </c>
      <c r="L48" s="23" t="n">
        <v>0</v>
      </c>
      <c r="M48" s="23" t="n">
        <v>0</v>
      </c>
      <c r="N48" s="23" t="n">
        <v>0</v>
      </c>
    </row>
    <row r="49">
      <c r="K49" s="23" t="n">
        <v>0</v>
      </c>
      <c r="L49" s="23" t="n">
        <v>0</v>
      </c>
      <c r="M49" s="23" t="n">
        <v>0</v>
      </c>
      <c r="N49" s="23" t="n">
        <v>0</v>
      </c>
    </row>
    <row r="50">
      <c r="K50" s="23" t="n">
        <v>0</v>
      </c>
      <c r="L50" s="23" t="n">
        <v>0</v>
      </c>
      <c r="M50" s="23" t="n">
        <v>0</v>
      </c>
      <c r="N50" s="23" t="n">
        <v>0</v>
      </c>
    </row>
    <row r="51">
      <c r="K51" s="23" t="n">
        <v>0</v>
      </c>
      <c r="L51" s="23" t="n">
        <v>0</v>
      </c>
      <c r="M51" s="23" t="n">
        <v>0</v>
      </c>
      <c r="N51" s="23" t="n">
        <v>0</v>
      </c>
    </row>
    <row r="52">
      <c r="K52" s="23" t="n">
        <v>0</v>
      </c>
      <c r="L52" s="23" t="n">
        <v>0</v>
      </c>
      <c r="M52" s="23" t="n">
        <v>0</v>
      </c>
      <c r="N52" s="23" t="n">
        <v>0</v>
      </c>
    </row>
    <row r="53">
      <c r="K53" s="23" t="n">
        <v>0</v>
      </c>
      <c r="L53" s="23" t="n">
        <v>0</v>
      </c>
      <c r="M53" s="23" t="n">
        <v>0</v>
      </c>
      <c r="N53" s="23" t="n">
        <v>0</v>
      </c>
    </row>
    <row r="54">
      <c r="K54" s="23" t="n">
        <v>0</v>
      </c>
      <c r="L54" s="23" t="n">
        <v>0</v>
      </c>
      <c r="M54" s="23" t="n">
        <v>0</v>
      </c>
      <c r="N54" s="23" t="n">
        <v>0</v>
      </c>
    </row>
    <row r="55">
      <c r="K55" s="23" t="n">
        <v>0</v>
      </c>
      <c r="L55" s="23" t="n">
        <v>0</v>
      </c>
      <c r="M55" s="23" t="n">
        <v>0</v>
      </c>
      <c r="N55" s="23" t="n">
        <v>0</v>
      </c>
    </row>
    <row r="56">
      <c r="K56" s="23" t="n">
        <v>0</v>
      </c>
      <c r="L56" s="23" t="n">
        <v>0</v>
      </c>
      <c r="M56" s="23" t="n">
        <v>0</v>
      </c>
      <c r="N56" s="23" t="n">
        <v>0</v>
      </c>
    </row>
    <row r="57">
      <c r="K57" s="23" t="n">
        <v>0</v>
      </c>
      <c r="L57" s="23" t="n">
        <v>0</v>
      </c>
      <c r="M57" s="23" t="n">
        <v>0</v>
      </c>
      <c r="N57" s="23" t="n">
        <v>0</v>
      </c>
    </row>
    <row r="58">
      <c r="K58" s="23" t="n">
        <v>0</v>
      </c>
      <c r="L58" s="23" t="n">
        <v>0</v>
      </c>
      <c r="M58" s="23" t="n">
        <v>0</v>
      </c>
      <c r="N58" s="23" t="n">
        <v>0</v>
      </c>
    </row>
    <row r="59">
      <c r="K59" s="23" t="n">
        <v>0</v>
      </c>
      <c r="L59" s="23" t="n">
        <v>0</v>
      </c>
      <c r="M59" s="23" t="n">
        <v>0</v>
      </c>
      <c r="N59" s="23" t="n">
        <v>0</v>
      </c>
    </row>
    <row r="60">
      <c r="K60" s="12" t="n">
        <v>0</v>
      </c>
      <c r="L60" s="12" t="n">
        <v>0</v>
      </c>
      <c r="M60" s="12" t="n">
        <v>0</v>
      </c>
      <c r="N60" s="12" t="n">
        <v>0</v>
      </c>
    </row>
    <row r="61">
      <c r="K61" s="12" t="n"/>
      <c r="L61" s="12" t="n"/>
      <c r="M61" s="12" t="n"/>
      <c r="N61" s="12" t="n"/>
    </row>
    <row r="62">
      <c r="K62" s="12" t="n"/>
      <c r="L62" s="12" t="n"/>
      <c r="M62" s="12" t="n"/>
      <c r="N62" s="12" t="n"/>
    </row>
    <row r="63">
      <c r="K63" s="12" t="n"/>
      <c r="L63" s="12" t="n"/>
      <c r="M63" s="12" t="n"/>
      <c r="N63" s="12" t="n"/>
    </row>
    <row r="64">
      <c r="K64" s="12" t="n"/>
      <c r="L64" s="12" t="n"/>
      <c r="M64" s="12" t="n"/>
      <c r="N64" s="12" t="n"/>
    </row>
    <row r="65">
      <c r="K65" s="12" t="n"/>
      <c r="L65" s="12" t="n"/>
      <c r="M65" s="12" t="n"/>
      <c r="N65" s="12" t="n"/>
    </row>
    <row r="66">
      <c r="K66" s="12" t="n"/>
      <c r="L66" s="12" t="n"/>
      <c r="M66" s="12" t="n"/>
      <c r="N66" s="12" t="n"/>
    </row>
    <row r="67">
      <c r="K67" s="12" t="n"/>
      <c r="L67" s="12" t="n"/>
      <c r="M67" s="12" t="n"/>
      <c r="N67" s="12" t="n"/>
    </row>
    <row r="68">
      <c r="K68" s="12" t="n"/>
      <c r="L68" s="12" t="n"/>
      <c r="M68" s="12" t="n"/>
      <c r="N68" s="12" t="n"/>
    </row>
    <row r="69">
      <c r="K69" s="12" t="n"/>
      <c r="L69" s="12" t="n"/>
      <c r="M69" s="12" t="n"/>
      <c r="N69" s="12" t="n"/>
    </row>
    <row r="70">
      <c r="K70" s="12" t="n"/>
      <c r="L70" s="12" t="n"/>
      <c r="M70" s="12" t="n"/>
      <c r="N70" s="12" t="n"/>
    </row>
    <row r="71">
      <c r="K71" s="12" t="n"/>
      <c r="L71" s="12" t="n"/>
      <c r="M71" s="12" t="n"/>
      <c r="N71" s="12" t="n"/>
    </row>
    <row r="72">
      <c r="K72" s="12" t="n"/>
      <c r="L72" s="12" t="n"/>
      <c r="M72" s="12" t="n"/>
      <c r="N72" s="12" t="n"/>
    </row>
    <row r="73">
      <c r="K73" s="12" t="n"/>
      <c r="L73" s="12" t="n"/>
      <c r="M73" s="12" t="n"/>
      <c r="N73" s="12" t="n"/>
    </row>
    <row r="74">
      <c r="K74" s="12" t="n"/>
      <c r="L74" s="12" t="n"/>
      <c r="M74" s="12" t="n"/>
      <c r="N74" s="12" t="n"/>
    </row>
    <row r="75">
      <c r="K75" s="12" t="n"/>
      <c r="L75" s="12" t="n"/>
      <c r="M75" s="12" t="n"/>
      <c r="N75" s="12" t="n"/>
    </row>
    <row r="76">
      <c r="K76" s="12" t="n"/>
      <c r="L76" s="12" t="n"/>
      <c r="M76" s="12" t="n"/>
      <c r="N76" s="12" t="n"/>
    </row>
    <row r="77">
      <c r="K77" s="12" t="n"/>
      <c r="L77" s="12" t="n"/>
      <c r="M77" s="12" t="n"/>
      <c r="N77" s="12" t="n"/>
    </row>
    <row r="78">
      <c r="K78" s="12" t="n"/>
      <c r="L78" s="12" t="n"/>
      <c r="M78" s="12" t="n"/>
      <c r="N78" s="12" t="n"/>
    </row>
    <row r="79">
      <c r="K79" s="12" t="n"/>
      <c r="L79" s="12" t="n"/>
      <c r="M79" s="12" t="n"/>
      <c r="N79" s="12" t="n"/>
    </row>
    <row r="80">
      <c r="K80" s="12" t="n"/>
      <c r="L80" s="12" t="n"/>
      <c r="M80" s="12" t="n"/>
      <c r="N80" s="12" t="n"/>
    </row>
    <row r="81">
      <c r="K81" s="12" t="n"/>
      <c r="L81" s="12" t="n"/>
      <c r="M81" s="12" t="n"/>
      <c r="N81" s="12" t="n"/>
    </row>
    <row r="82">
      <c r="K82" s="12" t="n"/>
      <c r="L82" s="12" t="n"/>
      <c r="M82" s="12" t="n"/>
      <c r="N82" s="12" t="n"/>
    </row>
    <row r="83">
      <c r="K83" s="12" t="n"/>
      <c r="L83" s="12" t="n"/>
      <c r="M83" s="12" t="n"/>
      <c r="N83" s="12" t="n"/>
    </row>
    <row r="84">
      <c r="K84" s="12" t="n"/>
      <c r="L84" s="12" t="n"/>
      <c r="M84" s="12" t="n"/>
      <c r="N84" s="12" t="n"/>
    </row>
    <row r="85">
      <c r="K85" s="12" t="n"/>
      <c r="L85" s="12" t="n"/>
      <c r="M85" s="12" t="n"/>
      <c r="N85" s="12" t="n"/>
    </row>
    <row r="86">
      <c r="K86" s="12" t="n"/>
      <c r="L86" s="12" t="n"/>
      <c r="M86" s="12" t="n"/>
      <c r="N86" s="12" t="n"/>
    </row>
    <row r="87">
      <c r="K87" s="12" t="n"/>
      <c r="L87" s="12" t="n"/>
      <c r="M87" s="12" t="n"/>
      <c r="N87" s="12" t="n"/>
    </row>
    <row r="88">
      <c r="K88" s="12" t="n"/>
      <c r="L88" s="12" t="n"/>
      <c r="M88" s="12" t="n"/>
      <c r="N88" s="12" t="n"/>
    </row>
    <row r="89">
      <c r="K89" s="12" t="n"/>
      <c r="L89" s="12" t="n"/>
      <c r="M89" s="12" t="n"/>
      <c r="N89" s="12" t="n"/>
    </row>
    <row r="90">
      <c r="K90" s="12" t="n"/>
      <c r="L90" s="12" t="n"/>
      <c r="M90" s="12" t="n"/>
      <c r="N90" s="12" t="n"/>
    </row>
    <row r="91">
      <c r="K91" s="12" t="n"/>
      <c r="L91" s="12" t="n"/>
      <c r="M91" s="12" t="n"/>
      <c r="N91" s="12" t="n"/>
    </row>
    <row r="92">
      <c r="K92" s="12" t="n"/>
      <c r="L92" s="12" t="n"/>
      <c r="M92" s="12" t="n"/>
      <c r="N92" s="12" t="n"/>
    </row>
    <row r="93">
      <c r="K93" s="12" t="n"/>
      <c r="L93" s="12" t="n"/>
      <c r="M93" s="12" t="n"/>
      <c r="N93" s="12" t="n"/>
    </row>
    <row r="94">
      <c r="K94" s="12" t="n"/>
      <c r="L94" s="12" t="n"/>
      <c r="M94" s="12" t="n"/>
      <c r="N94" s="12" t="n"/>
    </row>
    <row r="95">
      <c r="K95" s="12" t="n"/>
      <c r="L95" s="12" t="n"/>
      <c r="M95" s="12" t="n"/>
      <c r="N95" s="12" t="n"/>
    </row>
    <row r="96">
      <c r="K96" s="12" t="n"/>
      <c r="L96" s="12" t="n"/>
      <c r="M96" s="12" t="n"/>
      <c r="N96" s="12" t="n"/>
    </row>
    <row r="97">
      <c r="K97" s="12" t="n"/>
      <c r="L97" s="12" t="n"/>
      <c r="M97" s="12" t="n"/>
      <c r="N97" s="12" t="n"/>
    </row>
    <row r="98">
      <c r="K98" s="12" t="n"/>
      <c r="L98" s="12" t="n"/>
      <c r="M98" s="12" t="n"/>
      <c r="N98" s="12" t="n"/>
    </row>
    <row r="99">
      <c r="K99" s="12" t="n"/>
      <c r="L99" s="12" t="n"/>
      <c r="M99" s="12" t="n"/>
      <c r="N99" s="12" t="n"/>
    </row>
    <row r="100">
      <c r="K100" s="12" t="n"/>
      <c r="L100" s="12" t="n"/>
      <c r="M100" s="12" t="n"/>
      <c r="N100" s="12" t="n"/>
    </row>
    <row r="101">
      <c r="K101" s="12" t="n"/>
      <c r="L101" s="12" t="n"/>
      <c r="M101" s="12" t="n"/>
      <c r="N101" s="12" t="n"/>
    </row>
    <row r="102">
      <c r="K102" s="12" t="n"/>
      <c r="L102" s="12" t="n"/>
      <c r="M102" s="12" t="n"/>
      <c r="N102" s="12" t="n"/>
    </row>
    <row r="103">
      <c r="K103" s="12" t="n"/>
      <c r="L103" s="12" t="n"/>
      <c r="M103" s="12" t="n"/>
      <c r="N103" s="12" t="n"/>
    </row>
    <row r="104">
      <c r="K104" s="12" t="n"/>
      <c r="L104" s="12" t="n"/>
      <c r="M104" s="12" t="n"/>
      <c r="N104" s="12" t="n"/>
    </row>
    <row r="105">
      <c r="K105" s="12" t="n"/>
      <c r="L105" s="12" t="n"/>
      <c r="M105" s="12" t="n"/>
      <c r="N105" s="12" t="n"/>
    </row>
    <row r="106">
      <c r="K106" s="12" t="n"/>
      <c r="L106" s="12" t="n"/>
      <c r="M106" s="12" t="n"/>
      <c r="N106" s="12" t="n"/>
    </row>
    <row r="107">
      <c r="K107" s="12" t="n"/>
      <c r="L107" s="12" t="n"/>
      <c r="M107" s="12" t="n"/>
      <c r="N107" s="12" t="n"/>
    </row>
    <row r="108">
      <c r="K108" s="12" t="n"/>
      <c r="L108" s="12" t="n"/>
      <c r="M108" s="12" t="n"/>
      <c r="N108" s="12" t="n"/>
    </row>
    <row r="109">
      <c r="K109" s="12" t="n"/>
      <c r="L109" s="12" t="n"/>
      <c r="M109" s="12" t="n"/>
      <c r="N109" s="12" t="n"/>
    </row>
    <row r="110">
      <c r="K110" s="12" t="n"/>
      <c r="L110" s="12" t="n"/>
      <c r="M110" s="12" t="n"/>
      <c r="N110" s="12" t="n"/>
    </row>
    <row r="111">
      <c r="K111" s="12" t="n"/>
      <c r="L111" s="12" t="n"/>
      <c r="M111" s="12" t="n"/>
      <c r="N111" s="12" t="n"/>
    </row>
    <row r="112">
      <c r="K112" s="12" t="n"/>
      <c r="L112" s="12" t="n"/>
      <c r="M112" s="12" t="n"/>
      <c r="N112" s="12" t="n"/>
    </row>
    <row r="113">
      <c r="K113" s="12" t="n"/>
      <c r="L113" s="12" t="n"/>
      <c r="M113" s="12" t="n"/>
      <c r="N113" s="12" t="n"/>
    </row>
    <row r="114">
      <c r="K114" s="12" t="n"/>
      <c r="L114" s="12" t="n"/>
      <c r="M114" s="12" t="n"/>
      <c r="N114" s="12" t="n"/>
    </row>
    <row r="115">
      <c r="K115" s="12" t="n"/>
      <c r="L115" s="12" t="n"/>
      <c r="M115" s="12" t="n"/>
      <c r="N115" s="12" t="n"/>
    </row>
    <row r="116">
      <c r="K116" s="12" t="n"/>
      <c r="L116" s="12" t="n"/>
      <c r="M116" s="12" t="n"/>
      <c r="N116" s="12" t="n"/>
    </row>
    <row r="117">
      <c r="K117" s="12" t="n"/>
      <c r="L117" s="12" t="n"/>
      <c r="M117" s="12" t="n"/>
      <c r="N117" s="12" t="n"/>
    </row>
    <row r="118">
      <c r="K118" s="12" t="n"/>
      <c r="L118" s="12" t="n"/>
      <c r="M118" s="12" t="n"/>
      <c r="N118" s="12" t="n"/>
    </row>
    <row r="119">
      <c r="K119" s="12" t="n"/>
      <c r="L119" s="12" t="n"/>
      <c r="M119" s="12" t="n"/>
      <c r="N119" s="12" t="n"/>
    </row>
    <row r="120">
      <c r="K120" s="12" t="n"/>
      <c r="L120" s="12" t="n"/>
      <c r="M120" s="12" t="n"/>
      <c r="N120" s="12" t="n"/>
    </row>
    <row r="121">
      <c r="K121" s="12" t="n"/>
      <c r="L121" s="12" t="n"/>
      <c r="M121" s="12" t="n"/>
      <c r="N121" s="12" t="n"/>
    </row>
    <row r="122">
      <c r="K122" s="12" t="n"/>
      <c r="L122" s="12" t="n"/>
      <c r="M122" s="12" t="n"/>
      <c r="N122" s="12" t="n"/>
    </row>
    <row r="123">
      <c r="K123" s="12" t="n"/>
      <c r="L123" s="12" t="n"/>
      <c r="M123" s="12" t="n"/>
      <c r="N123" s="12" t="n"/>
    </row>
    <row r="124">
      <c r="K124" s="12" t="n"/>
      <c r="L124" s="12" t="n"/>
      <c r="M124" s="12" t="n"/>
      <c r="N124" s="12" t="n"/>
    </row>
    <row r="125">
      <c r="K125" s="12" t="n"/>
      <c r="L125" s="12" t="n"/>
      <c r="M125" s="12" t="n"/>
      <c r="N125" s="12" t="n"/>
    </row>
    <row r="126">
      <c r="K126" s="12" t="n"/>
      <c r="L126" s="12" t="n"/>
      <c r="M126" s="12" t="n"/>
      <c r="N126" s="12" t="n"/>
    </row>
    <row r="127">
      <c r="K127" s="12" t="n"/>
      <c r="L127" s="12" t="n"/>
      <c r="M127" s="12" t="n"/>
      <c r="N127" s="12" t="n"/>
    </row>
    <row r="128">
      <c r="K128" s="12" t="n"/>
      <c r="L128" s="12" t="n"/>
      <c r="M128" s="12" t="n"/>
      <c r="N128" s="12" t="n"/>
    </row>
    <row r="129">
      <c r="K129" s="12" t="n"/>
      <c r="L129" s="12" t="n"/>
      <c r="M129" s="12" t="n"/>
      <c r="N129" s="12" t="n"/>
    </row>
    <row r="130">
      <c r="K130" s="12" t="n"/>
      <c r="L130" s="12" t="n"/>
      <c r="M130" s="12" t="n"/>
      <c r="N130" s="12" t="n"/>
    </row>
    <row r="131">
      <c r="K131" s="12" t="n"/>
      <c r="L131" s="12" t="n"/>
      <c r="M131" s="12" t="n"/>
      <c r="N131" s="12" t="n"/>
    </row>
    <row r="132">
      <c r="K132" s="12" t="n"/>
      <c r="L132" s="12" t="n"/>
      <c r="M132" s="12" t="n"/>
      <c r="N132" s="12" t="n"/>
    </row>
    <row r="133">
      <c r="K133" s="12" t="n"/>
      <c r="L133" s="12" t="n"/>
      <c r="M133" s="12" t="n"/>
      <c r="N133" s="12" t="n"/>
    </row>
    <row r="134">
      <c r="K134" s="12" t="n"/>
      <c r="L134" s="12" t="n"/>
      <c r="M134" s="12" t="n"/>
      <c r="N134" s="12" t="n"/>
    </row>
    <row r="135">
      <c r="K135" s="12" t="n"/>
      <c r="L135" s="12" t="n"/>
      <c r="M135" s="12" t="n"/>
      <c r="N135" s="12" t="n"/>
    </row>
    <row r="136">
      <c r="K136" s="12" t="n"/>
      <c r="L136" s="12" t="n"/>
      <c r="M136" s="12" t="n"/>
      <c r="N136" s="12" t="n"/>
    </row>
    <row r="137">
      <c r="K137" s="12" t="n"/>
      <c r="L137" s="12" t="n"/>
      <c r="M137" s="12" t="n"/>
      <c r="N137" s="12" t="n"/>
    </row>
    <row r="138">
      <c r="K138" s="12" t="n"/>
      <c r="L138" s="12" t="n"/>
      <c r="M138" s="12" t="n"/>
      <c r="N138" s="12" t="n"/>
    </row>
    <row r="139">
      <c r="K139" s="12" t="n"/>
      <c r="L139" s="12" t="n"/>
      <c r="M139" s="12" t="n"/>
      <c r="N139" s="12" t="n"/>
    </row>
    <row r="140">
      <c r="K140" s="12" t="n"/>
      <c r="L140" s="12" t="n"/>
      <c r="M140" s="12" t="n"/>
      <c r="N140" s="12" t="n"/>
    </row>
    <row r="141">
      <c r="K141" s="12" t="n"/>
      <c r="L141" s="12" t="n"/>
      <c r="M141" s="12" t="n"/>
      <c r="N141" s="12" t="n"/>
    </row>
    <row r="142">
      <c r="K142" s="12" t="n"/>
      <c r="L142" s="12" t="n"/>
      <c r="M142" s="12" t="n"/>
      <c r="N142" s="12" t="n"/>
    </row>
    <row r="143">
      <c r="K143" s="12" t="n"/>
      <c r="L143" s="12" t="n"/>
      <c r="M143" s="12" t="n"/>
      <c r="N143" s="12" t="n"/>
    </row>
    <row r="144">
      <c r="K144" s="12" t="n"/>
      <c r="L144" s="12" t="n"/>
      <c r="M144" s="12" t="n"/>
      <c r="N144" s="12" t="n"/>
    </row>
    <row r="145">
      <c r="K145" s="12" t="n"/>
      <c r="L145" s="12" t="n"/>
      <c r="M145" s="12" t="n"/>
      <c r="N145" s="12" t="n"/>
    </row>
    <row r="146">
      <c r="K146" s="12" t="n"/>
      <c r="L146" s="12" t="n"/>
      <c r="M146" s="12" t="n"/>
      <c r="N146" s="12" t="n"/>
    </row>
    <row r="147">
      <c r="K147" s="12" t="n"/>
      <c r="L147" s="12" t="n"/>
      <c r="M147" s="12" t="n"/>
      <c r="N147" s="12" t="n"/>
    </row>
    <row r="148">
      <c r="K148" s="12" t="n"/>
      <c r="L148" s="12" t="n"/>
      <c r="M148" s="12" t="n"/>
      <c r="N148" s="12" t="n"/>
    </row>
    <row r="149">
      <c r="K149" s="12" t="n"/>
      <c r="L149" s="12" t="n"/>
      <c r="M149" s="12" t="n"/>
      <c r="N149" s="12" t="n"/>
    </row>
    <row r="150">
      <c r="K150" s="12" t="n"/>
      <c r="L150" s="12" t="n"/>
      <c r="M150" s="12" t="n"/>
      <c r="N150" s="12" t="n"/>
    </row>
    <row r="151">
      <c r="K151" s="12" t="n"/>
      <c r="L151" s="12" t="n"/>
      <c r="M151" s="12" t="n"/>
      <c r="N151" s="12" t="n"/>
    </row>
    <row r="152">
      <c r="K152" s="12" t="n"/>
      <c r="L152" s="12" t="n"/>
      <c r="M152" s="12" t="n"/>
      <c r="N152" s="12" t="n"/>
    </row>
    <row r="153">
      <c r="K153" s="12" t="n"/>
      <c r="L153" s="12" t="n"/>
      <c r="M153" s="12" t="n"/>
      <c r="N153" s="12" t="n"/>
    </row>
    <row r="154">
      <c r="K154" s="12" t="n"/>
      <c r="L154" s="12" t="n"/>
      <c r="M154" s="12" t="n"/>
      <c r="N154" s="12" t="n"/>
    </row>
    <row r="155">
      <c r="K155" s="12" t="n"/>
      <c r="L155" s="12" t="n"/>
      <c r="M155" s="12" t="n"/>
      <c r="N155" s="12" t="n"/>
    </row>
    <row r="156">
      <c r="K156" s="12" t="n"/>
      <c r="L156" s="12" t="n"/>
      <c r="M156" s="12" t="n"/>
      <c r="N156" s="12" t="n"/>
    </row>
    <row r="157">
      <c r="K157" s="12" t="n"/>
      <c r="L157" s="12" t="n"/>
      <c r="M157" s="12" t="n"/>
      <c r="N157" s="12" t="n"/>
    </row>
    <row r="158">
      <c r="K158" s="12" t="n"/>
      <c r="L158" s="12" t="n"/>
      <c r="M158" s="12" t="n"/>
      <c r="N158" s="12" t="n"/>
    </row>
    <row r="159">
      <c r="K159" s="12" t="n"/>
      <c r="L159" s="12" t="n"/>
      <c r="M159" s="12" t="n"/>
      <c r="N159" s="12" t="n"/>
    </row>
    <row r="160">
      <c r="K160" s="12" t="n"/>
      <c r="L160" s="12" t="n"/>
      <c r="M160" s="12" t="n"/>
      <c r="N160" s="12" t="n"/>
    </row>
    <row r="161">
      <c r="K161" s="12" t="n"/>
      <c r="L161" s="12" t="n"/>
      <c r="M161" s="12" t="n"/>
      <c r="N161" s="12" t="n"/>
    </row>
    <row r="162">
      <c r="K162" s="12" t="n"/>
      <c r="L162" s="12" t="n"/>
      <c r="M162" s="12" t="n"/>
      <c r="N162" s="12" t="n"/>
    </row>
    <row r="163">
      <c r="K163" s="12" t="n"/>
      <c r="L163" s="12" t="n"/>
      <c r="M163" s="12" t="n"/>
      <c r="N163" s="12" t="n"/>
    </row>
    <row r="164">
      <c r="K164" s="12" t="n"/>
      <c r="L164" s="12" t="n"/>
      <c r="M164" s="12" t="n"/>
      <c r="N164" s="12" t="n"/>
    </row>
    <row r="165">
      <c r="K165" s="12" t="n"/>
      <c r="L165" s="12" t="n"/>
      <c r="M165" s="12" t="n"/>
      <c r="N165" s="12" t="n"/>
    </row>
    <row r="166">
      <c r="K166" s="12" t="n"/>
      <c r="L166" s="12" t="n"/>
      <c r="M166" s="12" t="n"/>
      <c r="N166" s="12" t="n"/>
    </row>
    <row r="167">
      <c r="K167" s="12" t="n"/>
      <c r="L167" s="12" t="n"/>
      <c r="M167" s="12" t="n"/>
      <c r="N167" s="12" t="n"/>
    </row>
    <row r="168">
      <c r="K168" s="12" t="n"/>
      <c r="L168" s="12" t="n"/>
      <c r="M168" s="12" t="n"/>
      <c r="N168" s="12" t="n"/>
    </row>
    <row r="169">
      <c r="K169" s="12" t="n"/>
      <c r="L169" s="12" t="n"/>
      <c r="M169" s="12" t="n"/>
      <c r="N169" s="12" t="n"/>
    </row>
    <row r="170">
      <c r="K170" s="12" t="n"/>
      <c r="L170" s="12" t="n"/>
      <c r="M170" s="12" t="n"/>
      <c r="N170" s="12" t="n"/>
    </row>
    <row r="171">
      <c r="K171" s="12" t="n"/>
      <c r="L171" s="12" t="n"/>
      <c r="M171" s="12" t="n"/>
      <c r="N171" s="12" t="n"/>
    </row>
    <row r="172">
      <c r="K172" s="12" t="n"/>
      <c r="L172" s="12" t="n"/>
      <c r="M172" s="12" t="n"/>
      <c r="N172" s="12" t="n"/>
    </row>
    <row r="173">
      <c r="K173" s="12" t="n"/>
      <c r="L173" s="12" t="n"/>
      <c r="M173" s="12" t="n"/>
      <c r="N173" s="12" t="n"/>
    </row>
    <row r="174">
      <c r="K174" s="12" t="n"/>
      <c r="L174" s="12" t="n"/>
      <c r="M174" s="12" t="n"/>
      <c r="N174" s="12" t="n"/>
    </row>
    <row r="175">
      <c r="K175" s="12" t="n"/>
      <c r="L175" s="12" t="n"/>
      <c r="M175" s="12" t="n"/>
      <c r="N175" s="12" t="n"/>
    </row>
    <row r="176">
      <c r="K176" s="12" t="n"/>
      <c r="L176" s="12" t="n"/>
      <c r="M176" s="12" t="n"/>
      <c r="N176" s="12" t="n"/>
    </row>
    <row r="177">
      <c r="K177" s="12" t="n"/>
      <c r="L177" s="12" t="n"/>
      <c r="M177" s="12" t="n"/>
      <c r="N177" s="12" t="n"/>
    </row>
    <row r="178">
      <c r="K178" s="12" t="n"/>
      <c r="L178" s="12" t="n"/>
      <c r="M178" s="12" t="n"/>
      <c r="N178" s="12" t="n"/>
    </row>
    <row r="179">
      <c r="K179" s="12" t="n"/>
      <c r="L179" s="12" t="n"/>
      <c r="M179" s="12" t="n"/>
      <c r="N179" s="12" t="n"/>
    </row>
    <row r="180">
      <c r="K180" s="12" t="n"/>
      <c r="L180" s="12" t="n"/>
      <c r="M180" s="12" t="n"/>
      <c r="N180" s="12" t="n"/>
    </row>
    <row r="181">
      <c r="K181" s="12" t="n"/>
      <c r="L181" s="12" t="n"/>
      <c r="M181" s="12" t="n"/>
      <c r="N181" s="12" t="n"/>
    </row>
    <row r="182">
      <c r="K182" s="12" t="n"/>
      <c r="L182" s="12" t="n"/>
      <c r="M182" s="12" t="n"/>
      <c r="N182" s="12" t="n"/>
    </row>
    <row r="183">
      <c r="K183" s="12" t="n"/>
      <c r="L183" s="12" t="n"/>
      <c r="M183" s="12" t="n"/>
      <c r="N183" s="12" t="n"/>
    </row>
    <row r="184">
      <c r="K184" s="12" t="n"/>
      <c r="L184" s="12" t="n"/>
      <c r="M184" s="12" t="n"/>
      <c r="N184" s="12" t="n"/>
    </row>
    <row r="185">
      <c r="K185" s="12" t="n"/>
      <c r="L185" s="12" t="n"/>
      <c r="M185" s="12" t="n"/>
      <c r="N185" s="12" t="n"/>
    </row>
    <row r="186">
      <c r="K186" s="12" t="n"/>
      <c r="L186" s="12" t="n"/>
      <c r="M186" s="12" t="n"/>
      <c r="N186" s="12" t="n"/>
    </row>
    <row r="187">
      <c r="K187" s="12" t="n"/>
      <c r="L187" s="12" t="n"/>
      <c r="M187" s="12" t="n"/>
      <c r="N187" s="12" t="n"/>
    </row>
    <row r="188">
      <c r="K188" s="12" t="n"/>
      <c r="L188" s="12" t="n"/>
      <c r="M188" s="12" t="n"/>
      <c r="N188" s="12" t="n"/>
    </row>
    <row r="189">
      <c r="K189" s="12" t="n"/>
      <c r="L189" s="12" t="n"/>
      <c r="M189" s="12" t="n"/>
      <c r="N189" s="12" t="n"/>
    </row>
    <row r="190">
      <c r="K190" s="12" t="n"/>
      <c r="L190" s="12" t="n"/>
      <c r="M190" s="12" t="n"/>
      <c r="N190" s="12" t="n"/>
    </row>
    <row r="191">
      <c r="K191" s="12" t="n"/>
      <c r="L191" s="12" t="n"/>
      <c r="M191" s="12" t="n"/>
      <c r="N191" s="12" t="n"/>
    </row>
    <row r="192">
      <c r="K192" s="12" t="n"/>
      <c r="L192" s="12" t="n"/>
      <c r="M192" s="12" t="n"/>
      <c r="N192" s="12" t="n"/>
    </row>
    <row r="193">
      <c r="K193" s="12" t="n"/>
      <c r="L193" s="12" t="n"/>
      <c r="M193" s="12" t="n"/>
      <c r="N193" s="12" t="n"/>
    </row>
    <row r="194">
      <c r="K194" s="12" t="n"/>
      <c r="L194" s="12" t="n"/>
      <c r="M194" s="12" t="n"/>
      <c r="N194" s="12" t="n"/>
    </row>
    <row r="195">
      <c r="K195" s="12" t="n"/>
      <c r="L195" s="12" t="n"/>
      <c r="M195" s="12" t="n"/>
      <c r="N195" s="12" t="n"/>
    </row>
    <row r="196">
      <c r="K196" s="12" t="n"/>
      <c r="L196" s="12" t="n"/>
      <c r="M196" s="12" t="n"/>
      <c r="N196" s="12" t="n"/>
    </row>
    <row r="197">
      <c r="K197" s="12" t="n"/>
      <c r="L197" s="12" t="n"/>
      <c r="M197" s="12" t="n"/>
      <c r="N197" s="12" t="n"/>
    </row>
    <row r="198">
      <c r="K198" s="12" t="n"/>
      <c r="L198" s="12" t="n"/>
      <c r="M198" s="12" t="n"/>
      <c r="N198" s="12" t="n"/>
    </row>
    <row r="199">
      <c r="K199" s="12" t="n"/>
      <c r="L199" s="12" t="n"/>
      <c r="M199" s="12" t="n"/>
      <c r="N199" s="12" t="n"/>
    </row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22" customWidth="1" min="18" max="18"/>
    <col width="14" customWidth="1" min="19" max="19"/>
    <col width="44" customWidth="1" min="20" max="20"/>
  </cols>
  <sheetData>
    <row r="1" ht="28" customHeight="1">
      <c r="A1" s="1" t="inlineStr">
        <is>
          <t>NORMALIZED — Initiatives &amp; Status (single source of truth)</t>
        </is>
      </c>
    </row>
    <row r="3" ht="20" customHeight="1">
      <c r="A3" s="4" t="inlineStr">
        <is>
          <t>Initiative_ID</t>
        </is>
      </c>
      <c r="B3" s="4" t="inlineStr">
        <is>
          <t>Initiative_Name</t>
        </is>
      </c>
      <c r="C3" s="4" t="inlineStr">
        <is>
          <t>Domain</t>
        </is>
      </c>
      <c r="D3" s="4" t="inlineStr">
        <is>
          <t>Stage</t>
        </is>
      </c>
      <c r="E3" s="4" t="inlineStr">
        <is>
          <t>Status</t>
        </is>
      </c>
      <c r="F3" s="4" t="inlineStr">
        <is>
          <t>Owner</t>
        </is>
      </c>
      <c r="G3" s="4" t="inlineStr">
        <is>
          <t>Start</t>
        </is>
      </c>
      <c r="H3" s="4" t="inlineStr">
        <is>
          <t>Target</t>
        </is>
      </c>
      <c r="I3" s="4" t="inlineStr">
        <is>
          <t>Progress_%</t>
        </is>
      </c>
      <c r="J3" s="4" t="inlineStr">
        <is>
          <t>Impact (1-10)</t>
        </is>
      </c>
      <c r="K3" s="4" t="inlineStr">
        <is>
          <t>Confidence (0-1)</t>
        </is>
      </c>
      <c r="L3" s="4" t="inlineStr">
        <is>
          <t>Effort (1-10)</t>
        </is>
      </c>
      <c r="M3" s="4" t="inlineStr">
        <is>
          <t>BV (1-10)</t>
        </is>
      </c>
      <c r="N3" s="4" t="inlineStr">
        <is>
          <t>TC (1-10)</t>
        </is>
      </c>
      <c r="O3" s="4" t="inlineStr">
        <is>
          <t>RR (1-10)</t>
        </is>
      </c>
      <c r="P3" s="4" t="inlineStr">
        <is>
          <t>JS (1-10)</t>
        </is>
      </c>
      <c r="Q3" s="4" t="inlineStr">
        <is>
          <t>Decisions_Required</t>
        </is>
      </c>
      <c r="R3" s="4" t="inlineStr">
        <is>
          <t>Primary_Blocker</t>
        </is>
      </c>
      <c r="S3" s="4" t="inlineStr">
        <is>
          <t>Last_Update_Date</t>
        </is>
      </c>
      <c r="T3" s="4" t="inlineStr">
        <is>
          <t>Last_Update_Summary</t>
        </is>
      </c>
    </row>
    <row r="4" ht="20" customHeight="1">
      <c r="A4" s="6" t="inlineStr">
        <is>
          <t>INIT-001</t>
        </is>
      </c>
      <c r="B4" s="6" t="inlineStr">
        <is>
          <t>Iniciativa A (anon)</t>
        </is>
      </c>
      <c r="C4" s="6" t="inlineStr">
        <is>
          <t>Datos/IA</t>
        </is>
      </c>
      <c r="D4" s="6" t="inlineStr">
        <is>
          <t>MVP</t>
        </is>
      </c>
      <c r="E4" s="6" t="inlineStr">
        <is>
          <t>Build</t>
        </is>
      </c>
      <c r="F4" s="6" t="inlineStr">
        <is>
          <t>PM 1</t>
        </is>
      </c>
      <c r="G4" s="6" t="inlineStr">
        <is>
          <t>2026-01-15</t>
        </is>
      </c>
      <c r="H4" s="6" t="inlineStr">
        <is>
          <t>2026-03-30</t>
        </is>
      </c>
      <c r="I4" s="13" t="n">
        <v>0.35</v>
      </c>
      <c r="J4" s="6" t="n">
        <v>8</v>
      </c>
      <c r="K4" s="13" t="n">
        <v>0.7</v>
      </c>
      <c r="L4" s="6" t="n">
        <v>6</v>
      </c>
      <c r="M4" s="6" t="n">
        <v>8</v>
      </c>
      <c r="N4" s="6" t="n">
        <v>7</v>
      </c>
      <c r="O4" s="6" t="n">
        <v>6</v>
      </c>
      <c r="P4" s="6" t="n">
        <v>5</v>
      </c>
      <c r="Q4" s="6" t="inlineStr">
        <is>
          <t>Prioridad;Resourcing</t>
        </is>
      </c>
      <c r="R4" s="6" t="inlineStr">
        <is>
          <t>Dependencia Data Team</t>
        </is>
      </c>
      <c r="S4" s="24" t="inlineStr"/>
      <c r="T4" s="6" t="inlineStr"/>
    </row>
    <row r="5" ht="20" customHeight="1">
      <c r="A5" s="6" t="inlineStr">
        <is>
          <t>INIT-002</t>
        </is>
      </c>
      <c r="B5" s="6" t="inlineStr">
        <is>
          <t>Iniciativa B (anon)</t>
        </is>
      </c>
      <c r="C5" s="6" t="inlineStr">
        <is>
          <t>Producto</t>
        </is>
      </c>
      <c r="D5" s="6" t="inlineStr">
        <is>
          <t>Scale</t>
        </is>
      </c>
      <c r="E5" s="6" t="inlineStr">
        <is>
          <t>Test</t>
        </is>
      </c>
      <c r="F5" s="6" t="inlineStr">
        <is>
          <t>PM 3</t>
        </is>
      </c>
      <c r="G5" s="6" t="inlineStr">
        <is>
          <t>2026-01-05</t>
        </is>
      </c>
      <c r="H5" s="6" t="inlineStr">
        <is>
          <t>2026-02-28</t>
        </is>
      </c>
      <c r="I5" s="13" t="n">
        <v>0.7</v>
      </c>
      <c r="J5" s="6" t="n">
        <v>7</v>
      </c>
      <c r="K5" s="13" t="n">
        <v>0.65</v>
      </c>
      <c r="L5" s="6" t="n">
        <v>5</v>
      </c>
      <c r="M5" s="6" t="n">
        <v>7</v>
      </c>
      <c r="N5" s="6" t="n">
        <v>6</v>
      </c>
      <c r="O5" s="6" t="n">
        <v>5</v>
      </c>
      <c r="P5" s="6" t="n">
        <v>4</v>
      </c>
      <c r="Q5" s="6" t="inlineStr">
        <is>
          <t>Scope approval</t>
        </is>
      </c>
      <c r="R5" s="6" t="inlineStr">
        <is>
          <t>Scope cambió (+15% costo)</t>
        </is>
      </c>
      <c r="S5" s="24" t="inlineStr"/>
      <c r="T5" s="6" t="inlineStr"/>
    </row>
    <row r="6" ht="20" customHeight="1">
      <c r="A6" s="6" t="inlineStr">
        <is>
          <t>INIT-003</t>
        </is>
      </c>
      <c r="B6" s="6" t="inlineStr">
        <is>
          <t>Iniciativa C (anon)</t>
        </is>
      </c>
      <c r="C6" s="6" t="inlineStr">
        <is>
          <t>Operaciones</t>
        </is>
      </c>
      <c r="D6" s="6" t="inlineStr">
        <is>
          <t>MVP</t>
        </is>
      </c>
      <c r="E6" s="6" t="inlineStr">
        <is>
          <t>Build</t>
        </is>
      </c>
      <c r="F6" s="6" t="inlineStr">
        <is>
          <t>PM 2</t>
        </is>
      </c>
      <c r="G6" s="6" t="inlineStr">
        <is>
          <t>2026-02-01</t>
        </is>
      </c>
      <c r="H6" s="6" t="inlineStr">
        <is>
          <t>2026-04-15</t>
        </is>
      </c>
      <c r="I6" s="13" t="n">
        <v>0.55</v>
      </c>
      <c r="J6" s="6" t="n">
        <v>6</v>
      </c>
      <c r="K6" s="13" t="n">
        <v>0.6</v>
      </c>
      <c r="L6" s="6" t="n">
        <v>7</v>
      </c>
      <c r="M6" s="6" t="n">
        <v>6</v>
      </c>
      <c r="N6" s="6" t="n">
        <v>5</v>
      </c>
      <c r="O6" s="6" t="n">
        <v>4</v>
      </c>
      <c r="P6" s="6" t="n">
        <v>6</v>
      </c>
      <c r="Q6" s="6" t="inlineStr"/>
      <c r="R6" s="6" t="inlineStr">
        <is>
          <t>Proveedor atrasado 2 semanas</t>
        </is>
      </c>
      <c r="S6" s="24" t="inlineStr"/>
      <c r="T6" s="6" t="inlineStr"/>
    </row>
    <row r="7">
      <c r="S7" s="24" t="inlineStr"/>
      <c r="T7" s="6" t="inlineStr"/>
    </row>
    <row r="8">
      <c r="S8" s="24" t="inlineStr"/>
      <c r="T8" s="6" t="inlineStr"/>
    </row>
    <row r="9">
      <c r="S9" s="24" t="inlineStr"/>
      <c r="T9" s="6" t="inlineStr"/>
    </row>
    <row r="10">
      <c r="S10" s="24" t="inlineStr"/>
      <c r="T10" s="6" t="inlineStr"/>
    </row>
    <row r="11">
      <c r="S11" s="24" t="inlineStr"/>
      <c r="T11" s="6" t="inlineStr"/>
    </row>
    <row r="12">
      <c r="S12" s="24" t="inlineStr"/>
      <c r="T12" s="6" t="inlineStr"/>
    </row>
    <row r="13">
      <c r="S13" s="24" t="inlineStr"/>
      <c r="T13" s="6" t="inlineStr"/>
    </row>
    <row r="14">
      <c r="S14" s="24" t="inlineStr"/>
      <c r="T14" s="6" t="inlineStr"/>
    </row>
    <row r="15">
      <c r="S15" s="24" t="inlineStr"/>
      <c r="T15" s="6" t="inlineStr"/>
    </row>
    <row r="16">
      <c r="S16" s="24" t="inlineStr"/>
      <c r="T16" s="6" t="inlineStr"/>
    </row>
    <row r="17">
      <c r="S17" s="24" t="inlineStr"/>
      <c r="T17" s="6" t="inlineStr"/>
    </row>
    <row r="18">
      <c r="S18" s="24" t="inlineStr"/>
      <c r="T18" s="6" t="inlineStr"/>
    </row>
    <row r="19">
      <c r="S19" s="24" t="inlineStr"/>
      <c r="T19" s="6" t="inlineStr"/>
    </row>
    <row r="20">
      <c r="S20" s="24" t="inlineStr"/>
      <c r="T20" s="6" t="inlineStr"/>
    </row>
    <row r="21">
      <c r="S21" s="24" t="inlineStr"/>
      <c r="T21" s="6" t="inlineStr"/>
    </row>
    <row r="22">
      <c r="S22" s="24" t="inlineStr"/>
      <c r="T22" s="6" t="inlineStr"/>
    </row>
    <row r="23">
      <c r="S23" s="24" t="inlineStr"/>
      <c r="T23" s="6" t="inlineStr"/>
    </row>
    <row r="24">
      <c r="S24" s="24" t="inlineStr"/>
      <c r="T24" s="6" t="inlineStr"/>
    </row>
    <row r="25">
      <c r="S25" s="24" t="inlineStr"/>
      <c r="T25" s="6" t="inlineStr"/>
    </row>
    <row r="26">
      <c r="S26" s="24" t="inlineStr"/>
      <c r="T26" s="6" t="inlineStr"/>
    </row>
    <row r="27">
      <c r="S27" s="24" t="inlineStr"/>
      <c r="T27" s="6" t="inlineStr"/>
    </row>
    <row r="28">
      <c r="S28" s="24" t="inlineStr"/>
      <c r="T28" s="6" t="inlineStr"/>
    </row>
    <row r="29">
      <c r="S29" s="24" t="inlineStr"/>
      <c r="T29" s="6" t="inlineStr"/>
    </row>
    <row r="30">
      <c r="S30" s="24" t="inlineStr"/>
      <c r="T30" s="6" t="inlineStr"/>
    </row>
    <row r="31">
      <c r="S31" s="24" t="inlineStr"/>
      <c r="T31" s="6" t="inlineStr"/>
    </row>
    <row r="32">
      <c r="S32" s="24" t="inlineStr"/>
      <c r="T32" s="6" t="inlineStr"/>
    </row>
    <row r="33">
      <c r="S33" s="24" t="inlineStr"/>
      <c r="T33" s="6" t="inlineStr"/>
    </row>
    <row r="34">
      <c r="S34" s="24" t="inlineStr"/>
      <c r="T34" s="6" t="inlineStr"/>
    </row>
    <row r="35">
      <c r="S35" s="24" t="inlineStr"/>
      <c r="T35" s="6" t="inlineStr"/>
    </row>
    <row r="36">
      <c r="S36" s="24" t="inlineStr"/>
      <c r="T36" s="6" t="inlineStr"/>
    </row>
    <row r="37">
      <c r="S37" s="24" t="inlineStr"/>
      <c r="T37" s="6" t="inlineStr"/>
    </row>
    <row r="38">
      <c r="S38" s="24" t="inlineStr"/>
      <c r="T38" s="6" t="inlineStr"/>
    </row>
    <row r="39">
      <c r="S39" s="24" t="inlineStr"/>
      <c r="T39" s="6" t="inlineStr"/>
    </row>
    <row r="40">
      <c r="S40" s="24" t="inlineStr"/>
      <c r="T40" s="6" t="inlineStr"/>
    </row>
    <row r="41">
      <c r="S41" s="24" t="inlineStr"/>
      <c r="T41" s="6" t="inlineStr"/>
    </row>
    <row r="42">
      <c r="S42" s="24" t="inlineStr"/>
      <c r="T42" s="6" t="inlineStr"/>
    </row>
    <row r="43">
      <c r="S43" s="24" t="inlineStr"/>
      <c r="T43" s="6" t="inlineStr"/>
    </row>
    <row r="44">
      <c r="S44" s="24" t="inlineStr"/>
      <c r="T44" s="6" t="inlineStr"/>
    </row>
    <row r="45">
      <c r="S45" s="24" t="inlineStr"/>
      <c r="T45" s="6" t="inlineStr"/>
    </row>
    <row r="46">
      <c r="S46" s="24" t="inlineStr"/>
      <c r="T46" s="6" t="inlineStr"/>
    </row>
    <row r="47">
      <c r="S47" s="24" t="inlineStr"/>
      <c r="T47" s="6" t="inlineStr"/>
    </row>
    <row r="48">
      <c r="S48" s="24" t="inlineStr"/>
      <c r="T48" s="6" t="inlineStr"/>
    </row>
    <row r="49">
      <c r="S49" s="24" t="inlineStr"/>
      <c r="T49" s="6" t="inlineStr"/>
    </row>
    <row r="50">
      <c r="S50" s="24" t="inlineStr"/>
      <c r="T50" s="6" t="inlineStr"/>
    </row>
    <row r="51">
      <c r="S51" s="24" t="inlineStr"/>
      <c r="T51" s="6" t="inlineStr"/>
    </row>
    <row r="52">
      <c r="S52" s="24" t="inlineStr"/>
      <c r="T52" s="6" t="inlineStr"/>
    </row>
    <row r="53">
      <c r="S53" s="24" t="inlineStr"/>
      <c r="T53" s="6" t="inlineStr"/>
    </row>
    <row r="54">
      <c r="S54" s="24" t="inlineStr"/>
      <c r="T54" s="6" t="inlineStr"/>
    </row>
    <row r="55">
      <c r="S55" s="24" t="inlineStr"/>
      <c r="T55" s="6" t="inlineStr"/>
    </row>
    <row r="56">
      <c r="S56" s="24" t="inlineStr"/>
      <c r="T56" s="6" t="inlineStr"/>
    </row>
    <row r="57">
      <c r="S57" s="24" t="inlineStr"/>
      <c r="T57" s="6" t="inlineStr"/>
    </row>
    <row r="58">
      <c r="S58" s="24" t="inlineStr"/>
      <c r="T58" s="6" t="inlineStr"/>
    </row>
    <row r="59">
      <c r="S59" s="24" t="inlineStr"/>
      <c r="T59" s="6" t="inlineStr"/>
    </row>
    <row r="60">
      <c r="S60" s="14" t="inlineStr"/>
      <c r="T60" s="14" t="inlineStr"/>
    </row>
    <row r="61">
      <c r="S61" s="14" t="n"/>
      <c r="T61" s="14" t="n"/>
    </row>
    <row r="62">
      <c r="S62" s="14" t="n"/>
      <c r="T62" s="14" t="n"/>
    </row>
    <row r="63">
      <c r="S63" s="14" t="n"/>
      <c r="T63" s="14" t="n"/>
    </row>
    <row r="64">
      <c r="S64" s="14" t="n"/>
      <c r="T64" s="14" t="n"/>
    </row>
    <row r="65">
      <c r="S65" s="14" t="n"/>
      <c r="T65" s="14" t="n"/>
    </row>
    <row r="66">
      <c r="S66" s="14" t="n"/>
      <c r="T66" s="14" t="n"/>
    </row>
    <row r="67">
      <c r="S67" s="14" t="n"/>
      <c r="T67" s="14" t="n"/>
    </row>
    <row r="68">
      <c r="S68" s="14" t="n"/>
      <c r="T68" s="14" t="n"/>
    </row>
    <row r="69">
      <c r="S69" s="14" t="n"/>
      <c r="T69" s="14" t="n"/>
    </row>
    <row r="70">
      <c r="S70" s="14" t="n"/>
      <c r="T70" s="14" t="n"/>
    </row>
    <row r="71">
      <c r="S71" s="14" t="n"/>
      <c r="T71" s="14" t="n"/>
    </row>
    <row r="72">
      <c r="S72" s="14" t="n"/>
      <c r="T72" s="14" t="n"/>
    </row>
    <row r="73">
      <c r="S73" s="14" t="n"/>
      <c r="T73" s="14" t="n"/>
    </row>
    <row r="74">
      <c r="S74" s="14" t="n"/>
      <c r="T74" s="14" t="n"/>
    </row>
    <row r="75">
      <c r="S75" s="14" t="n"/>
      <c r="T75" s="14" t="n"/>
    </row>
    <row r="76">
      <c r="S76" s="14" t="n"/>
      <c r="T76" s="14" t="n"/>
    </row>
    <row r="77">
      <c r="S77" s="14" t="n"/>
      <c r="T77" s="14" t="n"/>
    </row>
    <row r="78">
      <c r="S78" s="14" t="n"/>
      <c r="T78" s="14" t="n"/>
    </row>
    <row r="79">
      <c r="S79" s="14" t="n"/>
      <c r="T79" s="14" t="n"/>
    </row>
    <row r="80">
      <c r="S80" s="14" t="n"/>
      <c r="T80" s="14" t="n"/>
    </row>
    <row r="81">
      <c r="S81" s="14" t="n"/>
      <c r="T81" s="14" t="n"/>
    </row>
    <row r="82">
      <c r="S82" s="14" t="n"/>
      <c r="T82" s="14" t="n"/>
    </row>
    <row r="83">
      <c r="S83" s="14" t="n"/>
      <c r="T83" s="14" t="n"/>
    </row>
    <row r="84">
      <c r="S84" s="14" t="n"/>
      <c r="T84" s="14" t="n"/>
    </row>
    <row r="85">
      <c r="S85" s="14" t="n"/>
      <c r="T85" s="14" t="n"/>
    </row>
    <row r="86">
      <c r="S86" s="14" t="n"/>
      <c r="T86" s="14" t="n"/>
    </row>
    <row r="87">
      <c r="S87" s="14" t="n"/>
      <c r="T87" s="14" t="n"/>
    </row>
    <row r="88">
      <c r="S88" s="14" t="n"/>
      <c r="T88" s="14" t="n"/>
    </row>
    <row r="89">
      <c r="S89" s="14" t="n"/>
      <c r="T89" s="14" t="n"/>
    </row>
    <row r="90">
      <c r="S90" s="14" t="n"/>
      <c r="T90" s="14" t="n"/>
    </row>
    <row r="91">
      <c r="S91" s="14" t="n"/>
      <c r="T91" s="14" t="n"/>
    </row>
    <row r="92">
      <c r="S92" s="14" t="n"/>
      <c r="T92" s="14" t="n"/>
    </row>
    <row r="93">
      <c r="S93" s="14" t="n"/>
      <c r="T93" s="14" t="n"/>
    </row>
    <row r="94">
      <c r="S94" s="14" t="n"/>
      <c r="T94" s="14" t="n"/>
    </row>
    <row r="95">
      <c r="S95" s="14" t="n"/>
      <c r="T95" s="14" t="n"/>
    </row>
    <row r="96">
      <c r="S96" s="14" t="n"/>
      <c r="T96" s="14" t="n"/>
    </row>
    <row r="97">
      <c r="S97" s="14" t="n"/>
      <c r="T97" s="14" t="n"/>
    </row>
    <row r="98">
      <c r="S98" s="14" t="n"/>
      <c r="T98" s="14" t="n"/>
    </row>
    <row r="99">
      <c r="S99" s="14" t="n"/>
      <c r="T99" s="14" t="n"/>
    </row>
    <row r="100">
      <c r="S100" s="14" t="n"/>
      <c r="T100" s="14" t="n"/>
    </row>
    <row r="101">
      <c r="S101" s="14" t="n"/>
      <c r="T101" s="14" t="n"/>
    </row>
    <row r="102">
      <c r="S102" s="14" t="n"/>
      <c r="T102" s="14" t="n"/>
    </row>
    <row r="103">
      <c r="S103" s="14" t="n"/>
      <c r="T103" s="14" t="n"/>
    </row>
    <row r="104">
      <c r="S104" s="14" t="n"/>
      <c r="T104" s="14" t="n"/>
    </row>
    <row r="105">
      <c r="S105" s="14" t="n"/>
      <c r="T105" s="14" t="n"/>
    </row>
    <row r="106">
      <c r="S106" s="14" t="n"/>
      <c r="T106" s="14" t="n"/>
    </row>
    <row r="107">
      <c r="S107" s="14" t="n"/>
      <c r="T107" s="14" t="n"/>
    </row>
    <row r="108">
      <c r="S108" s="14" t="n"/>
      <c r="T108" s="14" t="n"/>
    </row>
    <row r="109">
      <c r="S109" s="14" t="n"/>
      <c r="T109" s="14" t="n"/>
    </row>
    <row r="110">
      <c r="S110" s="14" t="n"/>
      <c r="T110" s="14" t="n"/>
    </row>
    <row r="111">
      <c r="S111" s="14" t="n"/>
      <c r="T111" s="14" t="n"/>
    </row>
    <row r="112">
      <c r="S112" s="14" t="n"/>
      <c r="T112" s="14" t="n"/>
    </row>
    <row r="113">
      <c r="S113" s="14" t="n"/>
      <c r="T113" s="14" t="n"/>
    </row>
    <row r="114">
      <c r="S114" s="14" t="n"/>
      <c r="T114" s="14" t="n"/>
    </row>
    <row r="115">
      <c r="S115" s="14" t="n"/>
      <c r="T115" s="14" t="n"/>
    </row>
    <row r="116">
      <c r="S116" s="14" t="n"/>
      <c r="T116" s="14" t="n"/>
    </row>
    <row r="117">
      <c r="S117" s="14" t="n"/>
      <c r="T117" s="14" t="n"/>
    </row>
    <row r="118">
      <c r="S118" s="14" t="n"/>
      <c r="T118" s="14" t="n"/>
    </row>
    <row r="119">
      <c r="S119" s="14" t="n"/>
      <c r="T119" s="14" t="n"/>
    </row>
    <row r="120">
      <c r="S120" s="14" t="n"/>
      <c r="T120" s="14" t="n"/>
    </row>
    <row r="121">
      <c r="S121" s="14" t="n"/>
      <c r="T121" s="14" t="n"/>
    </row>
    <row r="122">
      <c r="S122" s="14" t="n"/>
      <c r="T122" s="14" t="n"/>
    </row>
    <row r="123">
      <c r="S123" s="14" t="n"/>
      <c r="T123" s="14" t="n"/>
    </row>
    <row r="124">
      <c r="S124" s="14" t="n"/>
      <c r="T124" s="14" t="n"/>
    </row>
    <row r="125">
      <c r="S125" s="14" t="n"/>
      <c r="T125" s="14" t="n"/>
    </row>
    <row r="126">
      <c r="S126" s="14" t="n"/>
      <c r="T126" s="14" t="n"/>
    </row>
    <row r="127">
      <c r="S127" s="14" t="n"/>
      <c r="T127" s="14" t="n"/>
    </row>
    <row r="128">
      <c r="S128" s="14" t="n"/>
      <c r="T128" s="14" t="n"/>
    </row>
    <row r="129">
      <c r="S129" s="14" t="n"/>
      <c r="T129" s="14" t="n"/>
    </row>
    <row r="130">
      <c r="S130" s="14" t="n"/>
      <c r="T130" s="14" t="n"/>
    </row>
    <row r="131">
      <c r="S131" s="14" t="n"/>
      <c r="T131" s="14" t="n"/>
    </row>
    <row r="132">
      <c r="S132" s="14" t="n"/>
      <c r="T132" s="14" t="n"/>
    </row>
    <row r="133">
      <c r="S133" s="14" t="n"/>
      <c r="T133" s="14" t="n"/>
    </row>
    <row r="134">
      <c r="S134" s="14" t="n"/>
      <c r="T134" s="14" t="n"/>
    </row>
    <row r="135">
      <c r="S135" s="14" t="n"/>
      <c r="T135" s="14" t="n"/>
    </row>
    <row r="136">
      <c r="S136" s="14" t="n"/>
      <c r="T136" s="14" t="n"/>
    </row>
    <row r="137">
      <c r="S137" s="14" t="n"/>
      <c r="T137" s="14" t="n"/>
    </row>
    <row r="138">
      <c r="S138" s="14" t="n"/>
      <c r="T138" s="14" t="n"/>
    </row>
    <row r="139">
      <c r="S139" s="14" t="n"/>
      <c r="T139" s="14" t="n"/>
    </row>
    <row r="140">
      <c r="S140" s="14" t="n"/>
      <c r="T140" s="14" t="n"/>
    </row>
    <row r="141">
      <c r="S141" s="14" t="n"/>
      <c r="T141" s="14" t="n"/>
    </row>
    <row r="142">
      <c r="S142" s="14" t="n"/>
      <c r="T142" s="14" t="n"/>
    </row>
    <row r="143">
      <c r="S143" s="14" t="n"/>
      <c r="T143" s="14" t="n"/>
    </row>
    <row r="144">
      <c r="S144" s="14" t="n"/>
      <c r="T144" s="14" t="n"/>
    </row>
    <row r="145">
      <c r="S145" s="14" t="n"/>
      <c r="T145" s="14" t="n"/>
    </row>
    <row r="146">
      <c r="S146" s="14" t="n"/>
      <c r="T146" s="14" t="n"/>
    </row>
    <row r="147">
      <c r="S147" s="14" t="n"/>
      <c r="T147" s="14" t="n"/>
    </row>
    <row r="148">
      <c r="S148" s="14" t="n"/>
      <c r="T148" s="14" t="n"/>
    </row>
    <row r="149">
      <c r="S149" s="14" t="n"/>
      <c r="T149" s="14" t="n"/>
    </row>
    <row r="150">
      <c r="S150" s="14" t="n"/>
      <c r="T150" s="14" t="n"/>
    </row>
    <row r="151">
      <c r="S151" s="14" t="n"/>
      <c r="T151" s="14" t="n"/>
    </row>
    <row r="152">
      <c r="S152" s="14" t="n"/>
      <c r="T152" s="14" t="n"/>
    </row>
    <row r="153">
      <c r="S153" s="14" t="n"/>
      <c r="T153" s="14" t="n"/>
    </row>
    <row r="154">
      <c r="S154" s="14" t="n"/>
      <c r="T154" s="14" t="n"/>
    </row>
    <row r="155">
      <c r="S155" s="14" t="n"/>
      <c r="T155" s="14" t="n"/>
    </row>
    <row r="156">
      <c r="S156" s="14" t="n"/>
      <c r="T156" s="14" t="n"/>
    </row>
    <row r="157">
      <c r="S157" s="14" t="n"/>
      <c r="T157" s="14" t="n"/>
    </row>
    <row r="158">
      <c r="S158" s="14" t="n"/>
      <c r="T158" s="14" t="n"/>
    </row>
    <row r="159">
      <c r="S159" s="14" t="n"/>
      <c r="T159" s="14" t="n"/>
    </row>
    <row r="160">
      <c r="S160" s="14" t="n"/>
      <c r="T160" s="14" t="n"/>
    </row>
    <row r="161">
      <c r="S161" s="14" t="n"/>
      <c r="T161" s="14" t="n"/>
    </row>
    <row r="162">
      <c r="S162" s="14" t="n"/>
      <c r="T162" s="14" t="n"/>
    </row>
    <row r="163">
      <c r="S163" s="14" t="n"/>
      <c r="T163" s="14" t="n"/>
    </row>
    <row r="164">
      <c r="S164" s="14" t="n"/>
      <c r="T164" s="14" t="n"/>
    </row>
    <row r="165">
      <c r="S165" s="14" t="n"/>
      <c r="T165" s="14" t="n"/>
    </row>
    <row r="166">
      <c r="S166" s="14" t="n"/>
      <c r="T166" s="14" t="n"/>
    </row>
    <row r="167">
      <c r="S167" s="14" t="n"/>
      <c r="T167" s="14" t="n"/>
    </row>
    <row r="168">
      <c r="S168" s="14" t="n"/>
      <c r="T168" s="14" t="n"/>
    </row>
    <row r="169">
      <c r="S169" s="14" t="n"/>
      <c r="T169" s="14" t="n"/>
    </row>
    <row r="170">
      <c r="S170" s="14" t="n"/>
      <c r="T170" s="14" t="n"/>
    </row>
    <row r="171">
      <c r="S171" s="14" t="n"/>
      <c r="T171" s="14" t="n"/>
    </row>
    <row r="172">
      <c r="S172" s="14" t="n"/>
      <c r="T172" s="14" t="n"/>
    </row>
    <row r="173">
      <c r="S173" s="14" t="n"/>
      <c r="T173" s="14" t="n"/>
    </row>
    <row r="174">
      <c r="S174" s="14" t="n"/>
      <c r="T174" s="14" t="n"/>
    </row>
    <row r="175">
      <c r="S175" s="14" t="n"/>
      <c r="T175" s="14" t="n"/>
    </row>
    <row r="176">
      <c r="S176" s="14" t="n"/>
      <c r="T176" s="14" t="n"/>
    </row>
    <row r="177">
      <c r="S177" s="14" t="n"/>
      <c r="T177" s="14" t="n"/>
    </row>
    <row r="178">
      <c r="S178" s="14" t="n"/>
      <c r="T178" s="14" t="n"/>
    </row>
    <row r="179">
      <c r="S179" s="14" t="n"/>
      <c r="T179" s="14" t="n"/>
    </row>
    <row r="180">
      <c r="S180" s="14" t="n"/>
      <c r="T180" s="14" t="n"/>
    </row>
    <row r="181">
      <c r="S181" s="14" t="n"/>
      <c r="T181" s="14" t="n"/>
    </row>
    <row r="182">
      <c r="S182" s="14" t="n"/>
      <c r="T182" s="14" t="n"/>
    </row>
    <row r="183">
      <c r="S183" s="14" t="n"/>
      <c r="T183" s="14" t="n"/>
    </row>
    <row r="184">
      <c r="S184" s="14" t="n"/>
      <c r="T184" s="14" t="n"/>
    </row>
    <row r="185">
      <c r="S185" s="14" t="n"/>
      <c r="T185" s="14" t="n"/>
    </row>
    <row r="186">
      <c r="S186" s="14" t="n"/>
      <c r="T186" s="14" t="n"/>
    </row>
    <row r="187">
      <c r="S187" s="14" t="n"/>
      <c r="T187" s="14" t="n"/>
    </row>
    <row r="188">
      <c r="S188" s="14" t="n"/>
      <c r="T188" s="14" t="n"/>
    </row>
    <row r="189">
      <c r="S189" s="14" t="n"/>
      <c r="T189" s="14" t="n"/>
    </row>
    <row r="190">
      <c r="S190" s="14" t="n"/>
      <c r="T190" s="14" t="n"/>
    </row>
    <row r="191">
      <c r="S191" s="14" t="n"/>
      <c r="T191" s="14" t="n"/>
    </row>
    <row r="192">
      <c r="S192" s="14" t="n"/>
      <c r="T192" s="14" t="n"/>
    </row>
    <row r="193">
      <c r="S193" s="14" t="n"/>
      <c r="T193" s="14" t="n"/>
    </row>
    <row r="194">
      <c r="S194" s="14" t="n"/>
      <c r="T194" s="14" t="n"/>
    </row>
    <row r="195">
      <c r="S195" s="14" t="n"/>
      <c r="T195" s="14" t="n"/>
    </row>
    <row r="196">
      <c r="S196" s="14" t="n"/>
      <c r="T196" s="14" t="n"/>
    </row>
    <row r="197">
      <c r="S197" s="14" t="n"/>
      <c r="T197" s="14" t="n"/>
    </row>
    <row r="198">
      <c r="S198" s="14" t="n"/>
      <c r="T198" s="14" t="n"/>
    </row>
    <row r="199">
      <c r="S199" s="14" t="n"/>
      <c r="T199" s="14" t="n"/>
    </row>
    <row r="200">
      <c r="S200" s="14" t="n"/>
      <c r="T200" s="14" t="n"/>
    </row>
    <row r="201">
      <c r="S201" s="14" t="n"/>
      <c r="T201" s="14" t="n"/>
    </row>
    <row r="202">
      <c r="S202" s="14" t="n"/>
      <c r="T202" s="14" t="n"/>
    </row>
    <row r="203">
      <c r="S203" s="14" t="n"/>
      <c r="T203" s="14" t="n"/>
    </row>
    <row r="204">
      <c r="S204" s="14" t="n"/>
      <c r="T204" s="14" t="n"/>
    </row>
    <row r="205">
      <c r="S205" s="14" t="n"/>
      <c r="T205" s="14" t="n"/>
    </row>
    <row r="206">
      <c r="S206" s="14" t="n"/>
      <c r="T206" s="14" t="n"/>
    </row>
    <row r="207">
      <c r="S207" s="14" t="n"/>
      <c r="T207" s="14" t="n"/>
    </row>
    <row r="208">
      <c r="S208" s="14" t="n"/>
      <c r="T208" s="14" t="n"/>
    </row>
    <row r="209">
      <c r="S209" s="14" t="n"/>
      <c r="T209" s="14" t="n"/>
    </row>
    <row r="210">
      <c r="S210" s="14" t="n"/>
      <c r="T210" s="14" t="n"/>
    </row>
    <row r="211">
      <c r="S211" s="14" t="n"/>
      <c r="T211" s="14" t="n"/>
    </row>
    <row r="212">
      <c r="S212" s="14" t="n"/>
      <c r="T212" s="14" t="n"/>
    </row>
    <row r="213">
      <c r="S213" s="14" t="n"/>
      <c r="T213" s="14" t="n"/>
    </row>
    <row r="214">
      <c r="S214" s="14" t="n"/>
      <c r="T214" s="14" t="n"/>
    </row>
    <row r="215">
      <c r="S215" s="14" t="n"/>
      <c r="T215" s="14" t="n"/>
    </row>
    <row r="216">
      <c r="S216" s="14" t="n"/>
      <c r="T216" s="14" t="n"/>
    </row>
    <row r="217">
      <c r="S217" s="14" t="n"/>
      <c r="T217" s="14" t="n"/>
    </row>
    <row r="218">
      <c r="S218" s="14" t="n"/>
      <c r="T218" s="14" t="n"/>
    </row>
    <row r="219">
      <c r="S219" s="14" t="n"/>
      <c r="T219" s="14" t="n"/>
    </row>
    <row r="220">
      <c r="S220" s="14" t="n"/>
      <c r="T220" s="14" t="n"/>
    </row>
    <row r="221">
      <c r="S221" s="14" t="n"/>
      <c r="T221" s="14" t="n"/>
    </row>
    <row r="222">
      <c r="S222" s="14" t="n"/>
      <c r="T222" s="14" t="n"/>
    </row>
    <row r="223">
      <c r="S223" s="14" t="n"/>
      <c r="T223" s="14" t="n"/>
    </row>
    <row r="224">
      <c r="S224" s="14" t="n"/>
      <c r="T224" s="14" t="n"/>
    </row>
    <row r="225">
      <c r="S225" s="14" t="n"/>
      <c r="T225" s="14" t="n"/>
    </row>
    <row r="226">
      <c r="S226" s="14" t="n"/>
      <c r="T226" s="14" t="n"/>
    </row>
    <row r="227">
      <c r="S227" s="14" t="n"/>
      <c r="T227" s="14" t="n"/>
    </row>
    <row r="228">
      <c r="S228" s="14" t="n"/>
      <c r="T228" s="14" t="n"/>
    </row>
    <row r="229">
      <c r="S229" s="14" t="n"/>
      <c r="T229" s="14" t="n"/>
    </row>
    <row r="230">
      <c r="S230" s="14" t="n"/>
      <c r="T230" s="14" t="n"/>
    </row>
    <row r="231">
      <c r="S231" s="14" t="n"/>
      <c r="T231" s="14" t="n"/>
    </row>
    <row r="232">
      <c r="S232" s="14" t="n"/>
      <c r="T232" s="14" t="n"/>
    </row>
    <row r="233">
      <c r="S233" s="14" t="n"/>
      <c r="T233" s="14" t="n"/>
    </row>
    <row r="234">
      <c r="S234" s="14" t="n"/>
      <c r="T234" s="14" t="n"/>
    </row>
    <row r="235">
      <c r="S235" s="14" t="n"/>
      <c r="T235" s="14" t="n"/>
    </row>
    <row r="236">
      <c r="S236" s="14" t="n"/>
      <c r="T236" s="14" t="n"/>
    </row>
    <row r="237">
      <c r="S237" s="14" t="n"/>
      <c r="T237" s="14" t="n"/>
    </row>
    <row r="238">
      <c r="S238" s="14" t="n"/>
      <c r="T238" s="14" t="n"/>
    </row>
    <row r="239">
      <c r="S239" s="14" t="n"/>
      <c r="T239" s="14" t="n"/>
    </row>
    <row r="240">
      <c r="S240" s="14" t="n"/>
      <c r="T240" s="14" t="n"/>
    </row>
    <row r="241">
      <c r="S241" s="14" t="n"/>
      <c r="T241" s="14" t="n"/>
    </row>
    <row r="242">
      <c r="S242" s="14" t="n"/>
      <c r="T242" s="14" t="n"/>
    </row>
    <row r="243">
      <c r="S243" s="14" t="n"/>
      <c r="T243" s="14" t="n"/>
    </row>
    <row r="244">
      <c r="S244" s="14" t="n"/>
      <c r="T244" s="14" t="n"/>
    </row>
    <row r="245">
      <c r="S245" s="14" t="n"/>
      <c r="T245" s="14" t="n"/>
    </row>
    <row r="246">
      <c r="S246" s="14" t="n"/>
      <c r="T246" s="14" t="n"/>
    </row>
    <row r="247">
      <c r="S247" s="14" t="n"/>
      <c r="T247" s="14" t="n"/>
    </row>
    <row r="248">
      <c r="S248" s="14" t="n"/>
      <c r="T248" s="14" t="n"/>
    </row>
    <row r="249">
      <c r="S249" s="14" t="n"/>
      <c r="T249" s="14" t="n"/>
    </row>
    <row r="250">
      <c r="S250" s="14" t="n"/>
      <c r="T250" s="14" t="n"/>
    </row>
    <row r="251">
      <c r="S251" s="14" t="n"/>
      <c r="T251" s="14" t="n"/>
    </row>
    <row r="252">
      <c r="S252" s="14" t="n"/>
      <c r="T252" s="14" t="n"/>
    </row>
    <row r="253">
      <c r="S253" s="14" t="n"/>
      <c r="T253" s="14" t="n"/>
    </row>
    <row r="254">
      <c r="S254" s="14" t="n"/>
      <c r="T254" s="14" t="n"/>
    </row>
    <row r="255">
      <c r="S255" s="14" t="n"/>
      <c r="T255" s="14" t="n"/>
    </row>
    <row r="256">
      <c r="S256" s="14" t="n"/>
      <c r="T256" s="14" t="n"/>
    </row>
    <row r="257">
      <c r="S257" s="14" t="n"/>
      <c r="T257" s="14" t="n"/>
    </row>
    <row r="258">
      <c r="S258" s="14" t="n"/>
      <c r="T258" s="14" t="n"/>
    </row>
    <row r="259">
      <c r="S259" s="14" t="n"/>
      <c r="T259" s="14" t="n"/>
    </row>
    <row r="260">
      <c r="S260" s="14" t="n"/>
      <c r="T260" s="14" t="n"/>
    </row>
    <row r="261">
      <c r="S261" s="14" t="n"/>
      <c r="T261" s="14" t="n"/>
    </row>
    <row r="262">
      <c r="S262" s="14" t="n"/>
      <c r="T262" s="14" t="n"/>
    </row>
    <row r="263">
      <c r="S263" s="14" t="n"/>
      <c r="T263" s="14" t="n"/>
    </row>
    <row r="264">
      <c r="S264" s="14" t="n"/>
      <c r="T264" s="14" t="n"/>
    </row>
    <row r="265">
      <c r="S265" s="14" t="n"/>
      <c r="T265" s="14" t="n"/>
    </row>
    <row r="266">
      <c r="S266" s="14" t="n"/>
      <c r="T266" s="14" t="n"/>
    </row>
    <row r="267">
      <c r="S267" s="14" t="n"/>
      <c r="T267" s="14" t="n"/>
    </row>
    <row r="268">
      <c r="S268" s="14" t="n"/>
      <c r="T268" s="14" t="n"/>
    </row>
    <row r="269">
      <c r="S269" s="14" t="n"/>
      <c r="T269" s="14" t="n"/>
    </row>
    <row r="270">
      <c r="S270" s="14" t="n"/>
      <c r="T270" s="14" t="n"/>
    </row>
    <row r="271">
      <c r="S271" s="14" t="n"/>
      <c r="T271" s="14" t="n"/>
    </row>
    <row r="272">
      <c r="S272" s="14" t="n"/>
      <c r="T272" s="14" t="n"/>
    </row>
    <row r="273">
      <c r="S273" s="14" t="n"/>
      <c r="T273" s="14" t="n"/>
    </row>
    <row r="274">
      <c r="S274" s="14" t="n"/>
      <c r="T274" s="14" t="n"/>
    </row>
    <row r="275">
      <c r="S275" s="14" t="n"/>
      <c r="T275" s="14" t="n"/>
    </row>
    <row r="276">
      <c r="S276" s="14" t="n"/>
      <c r="T276" s="14" t="n"/>
    </row>
    <row r="277">
      <c r="S277" s="14" t="n"/>
      <c r="T277" s="14" t="n"/>
    </row>
    <row r="278">
      <c r="S278" s="14" t="n"/>
      <c r="T278" s="14" t="n"/>
    </row>
    <row r="279">
      <c r="S279" s="14" t="n"/>
      <c r="T279" s="14" t="n"/>
    </row>
    <row r="280">
      <c r="S280" s="14" t="n"/>
      <c r="T280" s="14" t="n"/>
    </row>
    <row r="281">
      <c r="S281" s="14" t="n"/>
      <c r="T281" s="14" t="n"/>
    </row>
    <row r="282">
      <c r="S282" s="14" t="n"/>
      <c r="T282" s="14" t="n"/>
    </row>
    <row r="283">
      <c r="S283" s="14" t="n"/>
      <c r="T283" s="14" t="n"/>
    </row>
    <row r="284">
      <c r="S284" s="14" t="n"/>
      <c r="T284" s="14" t="n"/>
    </row>
    <row r="285">
      <c r="S285" s="14" t="n"/>
      <c r="T285" s="14" t="n"/>
    </row>
    <row r="286">
      <c r="S286" s="14" t="n"/>
      <c r="T286" s="14" t="n"/>
    </row>
    <row r="287">
      <c r="S287" s="14" t="n"/>
      <c r="T287" s="14" t="n"/>
    </row>
    <row r="288">
      <c r="S288" s="14" t="n"/>
      <c r="T288" s="14" t="n"/>
    </row>
    <row r="289">
      <c r="S289" s="14" t="n"/>
      <c r="T289" s="14" t="n"/>
    </row>
    <row r="290">
      <c r="S290" s="14" t="n"/>
      <c r="T290" s="14" t="n"/>
    </row>
    <row r="291">
      <c r="S291" s="14" t="n"/>
      <c r="T291" s="14" t="n"/>
    </row>
    <row r="292">
      <c r="S292" s="14" t="n"/>
      <c r="T292" s="14" t="n"/>
    </row>
    <row r="293">
      <c r="S293" s="14" t="n"/>
      <c r="T293" s="14" t="n"/>
    </row>
    <row r="294">
      <c r="S294" s="14" t="n"/>
      <c r="T294" s="14" t="n"/>
    </row>
    <row r="295">
      <c r="S295" s="14" t="n"/>
      <c r="T295" s="14" t="n"/>
    </row>
    <row r="296">
      <c r="S296" s="14" t="n"/>
      <c r="T296" s="14" t="n"/>
    </row>
    <row r="297">
      <c r="S297" s="14" t="n"/>
      <c r="T297" s="14" t="n"/>
    </row>
    <row r="298">
      <c r="S298" s="14" t="n"/>
      <c r="T298" s="14" t="n"/>
    </row>
    <row r="299">
      <c r="S299" s="14" t="n"/>
      <c r="T299" s="14" t="n"/>
    </row>
    <row r="300">
      <c r="S300" s="14" t="n"/>
      <c r="T300" s="14" t="n"/>
    </row>
    <row r="301">
      <c r="S301" s="14" t="n"/>
      <c r="T301" s="14" t="n"/>
    </row>
    <row r="302">
      <c r="S302" s="14" t="n"/>
      <c r="T302" s="14" t="n"/>
    </row>
    <row r="303">
      <c r="S303" s="14" t="n"/>
      <c r="T303" s="14" t="n"/>
    </row>
    <row r="304">
      <c r="S304" s="14" t="n"/>
      <c r="T304" s="14" t="n"/>
    </row>
    <row r="305">
      <c r="S305" s="14" t="n"/>
      <c r="T305" s="14" t="n"/>
    </row>
    <row r="306">
      <c r="S306" s="14" t="n"/>
      <c r="T306" s="14" t="n"/>
    </row>
    <row r="307">
      <c r="S307" s="14" t="n"/>
      <c r="T307" s="14" t="n"/>
    </row>
    <row r="308">
      <c r="S308" s="14" t="n"/>
      <c r="T308" s="14" t="n"/>
    </row>
    <row r="309">
      <c r="S309" s="14" t="n"/>
      <c r="T309" s="14" t="n"/>
    </row>
    <row r="310">
      <c r="S310" s="14" t="n"/>
      <c r="T310" s="14" t="n"/>
    </row>
    <row r="311">
      <c r="S311" s="14" t="n"/>
      <c r="T311" s="14" t="n"/>
    </row>
    <row r="312">
      <c r="S312" s="14" t="n"/>
      <c r="T312" s="14" t="n"/>
    </row>
    <row r="313">
      <c r="S313" s="14" t="n"/>
      <c r="T313" s="14" t="n"/>
    </row>
    <row r="314">
      <c r="S314" s="14" t="n"/>
      <c r="T314" s="14" t="n"/>
    </row>
    <row r="315">
      <c r="S315" s="14" t="n"/>
      <c r="T315" s="14" t="n"/>
    </row>
    <row r="316">
      <c r="S316" s="14" t="n"/>
      <c r="T316" s="14" t="n"/>
    </row>
    <row r="317">
      <c r="S317" s="14" t="n"/>
      <c r="T317" s="14" t="n"/>
    </row>
    <row r="318">
      <c r="S318" s="14" t="n"/>
      <c r="T318" s="14" t="n"/>
    </row>
    <row r="319">
      <c r="S319" s="14" t="n"/>
      <c r="T319" s="14" t="n"/>
    </row>
    <row r="320">
      <c r="S320" s="14" t="n"/>
      <c r="T320" s="14" t="n"/>
    </row>
    <row r="321">
      <c r="S321" s="14" t="n"/>
      <c r="T321" s="14" t="n"/>
    </row>
    <row r="322">
      <c r="S322" s="14" t="n"/>
      <c r="T322" s="14" t="n"/>
    </row>
    <row r="323">
      <c r="S323" s="14" t="n"/>
      <c r="T323" s="14" t="n"/>
    </row>
    <row r="324">
      <c r="S324" s="14" t="n"/>
      <c r="T324" s="14" t="n"/>
    </row>
    <row r="325">
      <c r="S325" s="14" t="n"/>
      <c r="T325" s="14" t="n"/>
    </row>
    <row r="326">
      <c r="S326" s="14" t="n"/>
      <c r="T326" s="14" t="n"/>
    </row>
    <row r="327">
      <c r="S327" s="14" t="n"/>
      <c r="T327" s="14" t="n"/>
    </row>
    <row r="328">
      <c r="S328" s="14" t="n"/>
      <c r="T328" s="14" t="n"/>
    </row>
    <row r="329">
      <c r="S329" s="14" t="n"/>
      <c r="T329" s="14" t="n"/>
    </row>
    <row r="330">
      <c r="S330" s="14" t="n"/>
      <c r="T330" s="14" t="n"/>
    </row>
    <row r="331">
      <c r="S331" s="14" t="n"/>
      <c r="T331" s="14" t="n"/>
    </row>
    <row r="332">
      <c r="S332" s="14" t="n"/>
      <c r="T332" s="14" t="n"/>
    </row>
    <row r="333">
      <c r="S333" s="14" t="n"/>
      <c r="T333" s="14" t="n"/>
    </row>
    <row r="334">
      <c r="S334" s="14" t="n"/>
      <c r="T334" s="14" t="n"/>
    </row>
    <row r="335">
      <c r="S335" s="14" t="n"/>
      <c r="T335" s="14" t="n"/>
    </row>
    <row r="336">
      <c r="S336" s="14" t="n"/>
      <c r="T336" s="14" t="n"/>
    </row>
    <row r="337">
      <c r="S337" s="14" t="n"/>
      <c r="T337" s="14" t="n"/>
    </row>
    <row r="338">
      <c r="S338" s="14" t="n"/>
      <c r="T338" s="14" t="n"/>
    </row>
    <row r="339">
      <c r="S339" s="14" t="n"/>
      <c r="T339" s="14" t="n"/>
    </row>
    <row r="340">
      <c r="S340" s="14" t="n"/>
      <c r="T340" s="14" t="n"/>
    </row>
    <row r="341">
      <c r="S341" s="14" t="n"/>
      <c r="T341" s="14" t="n"/>
    </row>
    <row r="342">
      <c r="S342" s="14" t="n"/>
      <c r="T342" s="14" t="n"/>
    </row>
    <row r="343">
      <c r="S343" s="14" t="n"/>
      <c r="T343" s="14" t="n"/>
    </row>
    <row r="344">
      <c r="S344" s="14" t="n"/>
      <c r="T344" s="14" t="n"/>
    </row>
    <row r="345">
      <c r="S345" s="14" t="n"/>
      <c r="T345" s="14" t="n"/>
    </row>
    <row r="346">
      <c r="S346" s="14" t="n"/>
      <c r="T346" s="14" t="n"/>
    </row>
    <row r="347">
      <c r="S347" s="14" t="n"/>
      <c r="T347" s="14" t="n"/>
    </row>
    <row r="348">
      <c r="S348" s="14" t="n"/>
      <c r="T348" s="14" t="n"/>
    </row>
    <row r="349">
      <c r="S349" s="14" t="n"/>
      <c r="T349" s="14" t="n"/>
    </row>
    <row r="350">
      <c r="S350" s="14" t="n"/>
      <c r="T350" s="14" t="n"/>
    </row>
    <row r="351">
      <c r="S351" s="14" t="n"/>
      <c r="T351" s="14" t="n"/>
    </row>
    <row r="352">
      <c r="S352" s="14" t="n"/>
      <c r="T352" s="14" t="n"/>
    </row>
    <row r="353">
      <c r="S353" s="14" t="n"/>
      <c r="T353" s="14" t="n"/>
    </row>
    <row r="354">
      <c r="S354" s="14" t="n"/>
      <c r="T354" s="14" t="n"/>
    </row>
    <row r="355">
      <c r="S355" s="14" t="n"/>
      <c r="T355" s="14" t="n"/>
    </row>
    <row r="356">
      <c r="S356" s="14" t="n"/>
      <c r="T356" s="14" t="n"/>
    </row>
    <row r="357">
      <c r="S357" s="14" t="n"/>
      <c r="T357" s="14" t="n"/>
    </row>
    <row r="358">
      <c r="S358" s="14" t="n"/>
      <c r="T358" s="14" t="n"/>
    </row>
    <row r="359">
      <c r="S359" s="14" t="n"/>
      <c r="T359" s="14" t="n"/>
    </row>
    <row r="360">
      <c r="S360" s="14" t="n"/>
      <c r="T360" s="14" t="n"/>
    </row>
    <row r="361">
      <c r="S361" s="14" t="n"/>
      <c r="T361" s="14" t="n"/>
    </row>
    <row r="362">
      <c r="S362" s="14" t="n"/>
      <c r="T362" s="14" t="n"/>
    </row>
    <row r="363">
      <c r="S363" s="14" t="n"/>
      <c r="T363" s="14" t="n"/>
    </row>
    <row r="364">
      <c r="S364" s="14" t="n"/>
      <c r="T364" s="14" t="n"/>
    </row>
    <row r="365">
      <c r="S365" s="14" t="n"/>
      <c r="T365" s="14" t="n"/>
    </row>
    <row r="366">
      <c r="S366" s="14" t="n"/>
      <c r="T366" s="14" t="n"/>
    </row>
    <row r="367">
      <c r="S367" s="14" t="n"/>
      <c r="T367" s="14" t="n"/>
    </row>
    <row r="368">
      <c r="S368" s="14" t="n"/>
      <c r="T368" s="14" t="n"/>
    </row>
    <row r="369">
      <c r="S369" s="14" t="n"/>
      <c r="T369" s="14" t="n"/>
    </row>
    <row r="370">
      <c r="S370" s="14" t="n"/>
      <c r="T370" s="14" t="n"/>
    </row>
    <row r="371">
      <c r="S371" s="14" t="n"/>
      <c r="T371" s="14" t="n"/>
    </row>
    <row r="372">
      <c r="S372" s="14" t="n"/>
      <c r="T372" s="14" t="n"/>
    </row>
    <row r="373">
      <c r="S373" s="14" t="n"/>
      <c r="T373" s="14" t="n"/>
    </row>
    <row r="374">
      <c r="S374" s="14" t="n"/>
      <c r="T374" s="14" t="n"/>
    </row>
    <row r="375">
      <c r="S375" s="14" t="n"/>
      <c r="T375" s="14" t="n"/>
    </row>
    <row r="376">
      <c r="S376" s="14" t="n"/>
      <c r="T376" s="14" t="n"/>
    </row>
    <row r="377">
      <c r="S377" s="14" t="n"/>
      <c r="T377" s="14" t="n"/>
    </row>
    <row r="378">
      <c r="S378" s="14" t="n"/>
      <c r="T378" s="14" t="n"/>
    </row>
    <row r="379">
      <c r="S379" s="14" t="n"/>
      <c r="T379" s="14" t="n"/>
    </row>
    <row r="380">
      <c r="S380" s="14" t="n"/>
      <c r="T380" s="14" t="n"/>
    </row>
    <row r="381">
      <c r="S381" s="14" t="n"/>
      <c r="T381" s="14" t="n"/>
    </row>
    <row r="382">
      <c r="S382" s="14" t="n"/>
      <c r="T382" s="14" t="n"/>
    </row>
    <row r="383">
      <c r="S383" s="14" t="n"/>
      <c r="T383" s="14" t="n"/>
    </row>
    <row r="384">
      <c r="S384" s="14" t="n"/>
      <c r="T384" s="14" t="n"/>
    </row>
    <row r="385">
      <c r="S385" s="14" t="n"/>
      <c r="T385" s="14" t="n"/>
    </row>
    <row r="386">
      <c r="S386" s="14" t="n"/>
      <c r="T386" s="14" t="n"/>
    </row>
    <row r="387">
      <c r="S387" s="14" t="n"/>
      <c r="T387" s="14" t="n"/>
    </row>
    <row r="388">
      <c r="S388" s="14" t="n"/>
      <c r="T388" s="14" t="n"/>
    </row>
    <row r="389">
      <c r="S389" s="14" t="n"/>
      <c r="T389" s="14" t="n"/>
    </row>
    <row r="390">
      <c r="S390" s="14" t="n"/>
      <c r="T390" s="14" t="n"/>
    </row>
    <row r="391">
      <c r="S391" s="14" t="n"/>
      <c r="T391" s="14" t="n"/>
    </row>
    <row r="392">
      <c r="S392" s="14" t="n"/>
      <c r="T392" s="14" t="n"/>
    </row>
    <row r="393">
      <c r="S393" s="14" t="n"/>
      <c r="T393" s="14" t="n"/>
    </row>
    <row r="394">
      <c r="S394" s="14" t="n"/>
      <c r="T394" s="14" t="n"/>
    </row>
    <row r="395">
      <c r="S395" s="14" t="n"/>
      <c r="T395" s="14" t="n"/>
    </row>
    <row r="396">
      <c r="S396" s="14" t="n"/>
      <c r="T396" s="14" t="n"/>
    </row>
    <row r="397">
      <c r="S397" s="14" t="n"/>
      <c r="T397" s="14" t="n"/>
    </row>
    <row r="398">
      <c r="S398" s="14" t="n"/>
      <c r="T398" s="14" t="n"/>
    </row>
    <row r="399">
      <c r="S399" s="14" t="n"/>
      <c r="T399" s="14" t="n"/>
    </row>
    <row r="400">
      <c r="S400" s="14" t="n"/>
      <c r="T400" s="14" t="n"/>
    </row>
    <row r="401">
      <c r="S401" s="14" t="n"/>
      <c r="T401" s="14" t="n"/>
    </row>
    <row r="402">
      <c r="S402" s="14" t="n"/>
      <c r="T402" s="14" t="n"/>
    </row>
    <row r="403">
      <c r="S403" s="14" t="n"/>
      <c r="T403" s="14" t="n"/>
    </row>
    <row r="404">
      <c r="S404" s="14" t="n"/>
      <c r="T404" s="14" t="n"/>
    </row>
    <row r="405">
      <c r="S405" s="14" t="n"/>
      <c r="T405" s="14" t="n"/>
    </row>
    <row r="406">
      <c r="S406" s="14" t="n"/>
      <c r="T406" s="14" t="n"/>
    </row>
    <row r="407">
      <c r="S407" s="14" t="n"/>
      <c r="T407" s="14" t="n"/>
    </row>
    <row r="408">
      <c r="S408" s="14" t="n"/>
      <c r="T408" s="14" t="n"/>
    </row>
    <row r="409">
      <c r="S409" s="14" t="n"/>
      <c r="T409" s="14" t="n"/>
    </row>
    <row r="410">
      <c r="S410" s="14" t="n"/>
      <c r="T410" s="14" t="n"/>
    </row>
    <row r="411">
      <c r="S411" s="14" t="n"/>
      <c r="T411" s="14" t="n"/>
    </row>
    <row r="412">
      <c r="S412" s="14" t="n"/>
      <c r="T412" s="14" t="n"/>
    </row>
    <row r="413">
      <c r="S413" s="14" t="n"/>
      <c r="T413" s="14" t="n"/>
    </row>
    <row r="414">
      <c r="S414" s="14" t="n"/>
      <c r="T414" s="14" t="n"/>
    </row>
    <row r="415">
      <c r="S415" s="14" t="n"/>
      <c r="T415" s="14" t="n"/>
    </row>
    <row r="416">
      <c r="S416" s="14" t="n"/>
      <c r="T416" s="14" t="n"/>
    </row>
    <row r="417">
      <c r="S417" s="14" t="n"/>
      <c r="T417" s="14" t="n"/>
    </row>
    <row r="418">
      <c r="S418" s="14" t="n"/>
      <c r="T418" s="14" t="n"/>
    </row>
    <row r="419">
      <c r="S419" s="14" t="n"/>
      <c r="T419" s="14" t="n"/>
    </row>
    <row r="420">
      <c r="S420" s="14" t="n"/>
      <c r="T420" s="14" t="n"/>
    </row>
    <row r="421">
      <c r="S421" s="14" t="n"/>
      <c r="T421" s="14" t="n"/>
    </row>
    <row r="422">
      <c r="S422" s="14" t="n"/>
      <c r="T422" s="14" t="n"/>
    </row>
    <row r="423">
      <c r="S423" s="14" t="n"/>
      <c r="T423" s="14" t="n"/>
    </row>
    <row r="424">
      <c r="S424" s="14" t="n"/>
      <c r="T424" s="14" t="n"/>
    </row>
    <row r="425">
      <c r="S425" s="14" t="n"/>
      <c r="T425" s="14" t="n"/>
    </row>
    <row r="426">
      <c r="S426" s="14" t="n"/>
      <c r="T426" s="14" t="n"/>
    </row>
    <row r="427">
      <c r="S427" s="14" t="n"/>
      <c r="T427" s="14" t="n"/>
    </row>
    <row r="428">
      <c r="S428" s="14" t="n"/>
      <c r="T428" s="14" t="n"/>
    </row>
    <row r="429">
      <c r="S429" s="14" t="n"/>
      <c r="T429" s="14" t="n"/>
    </row>
    <row r="430">
      <c r="S430" s="14" t="n"/>
      <c r="T430" s="14" t="n"/>
    </row>
    <row r="431">
      <c r="S431" s="14" t="n"/>
      <c r="T431" s="14" t="n"/>
    </row>
    <row r="432">
      <c r="S432" s="14" t="n"/>
      <c r="T432" s="14" t="n"/>
    </row>
    <row r="433">
      <c r="S433" s="14" t="n"/>
      <c r="T433" s="14" t="n"/>
    </row>
    <row r="434">
      <c r="S434" s="14" t="n"/>
      <c r="T434" s="14" t="n"/>
    </row>
    <row r="435">
      <c r="S435" s="14" t="n"/>
      <c r="T435" s="14" t="n"/>
    </row>
    <row r="436">
      <c r="S436" s="14" t="n"/>
      <c r="T436" s="14" t="n"/>
    </row>
    <row r="437">
      <c r="S437" s="14" t="n"/>
      <c r="T437" s="14" t="n"/>
    </row>
    <row r="438">
      <c r="S438" s="14" t="n"/>
      <c r="T438" s="14" t="n"/>
    </row>
    <row r="439">
      <c r="S439" s="14" t="n"/>
      <c r="T439" s="14" t="n"/>
    </row>
    <row r="440">
      <c r="S440" s="14" t="n"/>
      <c r="T440" s="14" t="n"/>
    </row>
    <row r="441">
      <c r="S441" s="14" t="n"/>
      <c r="T441" s="14" t="n"/>
    </row>
    <row r="442">
      <c r="S442" s="14" t="n"/>
      <c r="T442" s="14" t="n"/>
    </row>
    <row r="443">
      <c r="S443" s="14" t="n"/>
      <c r="T443" s="14" t="n"/>
    </row>
    <row r="444">
      <c r="S444" s="14" t="n"/>
      <c r="T444" s="14" t="n"/>
    </row>
    <row r="445">
      <c r="S445" s="14" t="n"/>
      <c r="T445" s="14" t="n"/>
    </row>
    <row r="446">
      <c r="S446" s="14" t="n"/>
      <c r="T446" s="14" t="n"/>
    </row>
    <row r="447">
      <c r="S447" s="14" t="n"/>
      <c r="T447" s="14" t="n"/>
    </row>
    <row r="448">
      <c r="S448" s="14" t="n"/>
      <c r="T448" s="14" t="n"/>
    </row>
    <row r="449">
      <c r="S449" s="14" t="n"/>
      <c r="T449" s="14" t="n"/>
    </row>
    <row r="450">
      <c r="S450" s="14" t="n"/>
      <c r="T450" s="14" t="n"/>
    </row>
    <row r="451">
      <c r="S451" s="14" t="n"/>
      <c r="T451" s="14" t="n"/>
    </row>
    <row r="452">
      <c r="S452" s="14" t="n"/>
      <c r="T452" s="14" t="n"/>
    </row>
    <row r="453">
      <c r="S453" s="14" t="n"/>
      <c r="T453" s="14" t="n"/>
    </row>
    <row r="454">
      <c r="S454" s="14" t="n"/>
      <c r="T454" s="14" t="n"/>
    </row>
    <row r="455">
      <c r="S455" s="14" t="n"/>
      <c r="T455" s="14" t="n"/>
    </row>
    <row r="456">
      <c r="S456" s="14" t="n"/>
      <c r="T456" s="14" t="n"/>
    </row>
    <row r="457">
      <c r="S457" s="14" t="n"/>
      <c r="T457" s="14" t="n"/>
    </row>
    <row r="458">
      <c r="S458" s="14" t="n"/>
      <c r="T458" s="14" t="n"/>
    </row>
    <row r="459">
      <c r="S459" s="14" t="n"/>
      <c r="T459" s="14" t="n"/>
    </row>
    <row r="460">
      <c r="S460" s="14" t="n"/>
      <c r="T460" s="14" t="n"/>
    </row>
    <row r="461">
      <c r="S461" s="14" t="n"/>
      <c r="T461" s="14" t="n"/>
    </row>
    <row r="462">
      <c r="S462" s="14" t="n"/>
      <c r="T462" s="14" t="n"/>
    </row>
    <row r="463">
      <c r="S463" s="14" t="n"/>
      <c r="T463" s="14" t="n"/>
    </row>
    <row r="464">
      <c r="S464" s="14" t="n"/>
      <c r="T464" s="14" t="n"/>
    </row>
    <row r="465">
      <c r="S465" s="14" t="n"/>
      <c r="T465" s="14" t="n"/>
    </row>
    <row r="466">
      <c r="S466" s="14" t="n"/>
      <c r="T466" s="14" t="n"/>
    </row>
    <row r="467">
      <c r="S467" s="14" t="n"/>
      <c r="T467" s="14" t="n"/>
    </row>
    <row r="468">
      <c r="S468" s="14" t="n"/>
      <c r="T468" s="14" t="n"/>
    </row>
    <row r="469">
      <c r="S469" s="14" t="n"/>
      <c r="T469" s="14" t="n"/>
    </row>
    <row r="470">
      <c r="S470" s="14" t="n"/>
      <c r="T470" s="14" t="n"/>
    </row>
    <row r="471">
      <c r="S471" s="14" t="n"/>
      <c r="T471" s="14" t="n"/>
    </row>
    <row r="472">
      <c r="S472" s="14" t="n"/>
      <c r="T472" s="14" t="n"/>
    </row>
    <row r="473">
      <c r="S473" s="14" t="n"/>
      <c r="T473" s="14" t="n"/>
    </row>
    <row r="474">
      <c r="S474" s="14" t="n"/>
      <c r="T474" s="14" t="n"/>
    </row>
    <row r="475">
      <c r="S475" s="14" t="n"/>
      <c r="T475" s="14" t="n"/>
    </row>
    <row r="476">
      <c r="S476" s="14" t="n"/>
      <c r="T476" s="14" t="n"/>
    </row>
    <row r="477">
      <c r="S477" s="14" t="n"/>
      <c r="T477" s="14" t="n"/>
    </row>
    <row r="478">
      <c r="S478" s="14" t="n"/>
      <c r="T478" s="14" t="n"/>
    </row>
    <row r="479">
      <c r="S479" s="14" t="n"/>
      <c r="T479" s="14" t="n"/>
    </row>
    <row r="480">
      <c r="S480" s="14" t="n"/>
      <c r="T480" s="14" t="n"/>
    </row>
    <row r="481">
      <c r="S481" s="14" t="n"/>
      <c r="T481" s="14" t="n"/>
    </row>
    <row r="482">
      <c r="S482" s="14" t="n"/>
      <c r="T482" s="14" t="n"/>
    </row>
    <row r="483">
      <c r="S483" s="14" t="n"/>
      <c r="T483" s="14" t="n"/>
    </row>
    <row r="484">
      <c r="S484" s="14" t="n"/>
      <c r="T484" s="14" t="n"/>
    </row>
    <row r="485">
      <c r="S485" s="14" t="n"/>
      <c r="T485" s="14" t="n"/>
    </row>
    <row r="486">
      <c r="S486" s="14" t="n"/>
      <c r="T486" s="14" t="n"/>
    </row>
    <row r="487">
      <c r="S487" s="14" t="n"/>
      <c r="T487" s="14" t="n"/>
    </row>
    <row r="488">
      <c r="S488" s="14" t="n"/>
      <c r="T488" s="14" t="n"/>
    </row>
    <row r="489">
      <c r="S489" s="14" t="n"/>
      <c r="T489" s="14" t="n"/>
    </row>
    <row r="490">
      <c r="S490" s="14" t="n"/>
      <c r="T490" s="14" t="n"/>
    </row>
    <row r="491">
      <c r="S491" s="14" t="n"/>
      <c r="T491" s="14" t="n"/>
    </row>
    <row r="492">
      <c r="S492" s="14" t="n"/>
      <c r="T492" s="14" t="n"/>
    </row>
    <row r="493">
      <c r="S493" s="14" t="n"/>
      <c r="T493" s="14" t="n"/>
    </row>
    <row r="494">
      <c r="S494" s="14" t="n"/>
      <c r="T494" s="14" t="n"/>
    </row>
    <row r="495">
      <c r="S495" s="14" t="n"/>
      <c r="T495" s="14" t="n"/>
    </row>
    <row r="496">
      <c r="S496" s="14" t="n"/>
      <c r="T496" s="14" t="n"/>
    </row>
    <row r="497">
      <c r="S497" s="14" t="n"/>
      <c r="T497" s="14" t="n"/>
    </row>
    <row r="498">
      <c r="S498" s="14" t="n"/>
      <c r="T498" s="14" t="n"/>
    </row>
    <row r="499">
      <c r="S499" s="14" t="n"/>
      <c r="T499" s="14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8" customWidth="1" min="14" max="14"/>
    <col width="34" customWidth="1" min="15" max="15"/>
  </cols>
  <sheetData>
    <row r="1" ht="28" customHeight="1">
      <c r="A1" s="1" t="inlineStr">
        <is>
          <t>RISK_ENGINE — Risk register + scoring rules</t>
        </is>
      </c>
    </row>
    <row r="3" ht="20" customHeight="1">
      <c r="A3" s="4" t="inlineStr">
        <is>
          <t>Initiative_ID</t>
        </is>
      </c>
      <c r="B3" s="4" t="inlineStr">
        <is>
          <t>Name</t>
        </is>
      </c>
      <c r="C3" s="4" t="inlineStr">
        <is>
          <t>Owner</t>
        </is>
      </c>
      <c r="D3" s="4" t="inlineStr">
        <is>
          <t>Status</t>
        </is>
      </c>
      <c r="E3" s="4" t="inlineStr">
        <is>
          <t>Target</t>
        </is>
      </c>
      <c r="F3" s="4" t="inlineStr">
        <is>
          <t>Progress_%</t>
        </is>
      </c>
      <c r="G3" s="4" t="inlineStr">
        <is>
          <t>Blocked</t>
        </is>
      </c>
      <c r="H3" s="4" t="inlineStr">
        <is>
          <t>Delay</t>
        </is>
      </c>
      <c r="I3" s="4" t="inlineStr">
        <is>
          <t>Scope</t>
        </is>
      </c>
      <c r="J3" s="4" t="inlineStr">
        <is>
          <t>Budget</t>
        </is>
      </c>
      <c r="K3" s="4" t="inlineStr">
        <is>
          <t>Overdue</t>
        </is>
      </c>
      <c r="L3" s="4" t="inlineStr">
        <is>
          <t>LowConf</t>
        </is>
      </c>
      <c r="M3" s="4" t="inlineStr">
        <is>
          <t>Risk_Score</t>
        </is>
      </c>
      <c r="N3" s="4" t="inlineStr">
        <is>
          <t>RAG</t>
        </is>
      </c>
      <c r="O3" s="4" t="inlineStr">
        <is>
          <t>Key_Risk_Note</t>
        </is>
      </c>
    </row>
    <row r="4">
      <c r="A4" s="14">
        <f>IFERROR(NORMALIZED!A4,"")</f>
        <v/>
      </c>
      <c r="B4" s="14">
        <f>IF(A4="","",NORMALIZED!B4)</f>
        <v/>
      </c>
      <c r="C4" s="14">
        <f>IF(A4="","",NORMALIZED!F4)</f>
        <v/>
      </c>
      <c r="D4" s="14">
        <f>IF(A4="","",NORMALIZED!E4)</f>
        <v/>
      </c>
      <c r="E4" s="14">
        <f>IF(A4="","",NORMALIZED!H4)</f>
        <v/>
      </c>
      <c r="F4" s="15">
        <f>IF(A4="","",NORMALIZED!I4)</f>
        <v/>
      </c>
      <c r="G4" s="11">
        <f>IF(A4="","",--(COUNTIFS(INBOX!$C$4:$C$200,A4,INBOX!$K$4:$K$200,1)&gt;0))</f>
        <v/>
      </c>
      <c r="H4" s="11">
        <f>IF(A4="","",--(COUNTIFS(INBOX!$C$4:$C$200,A4,INBOX!$L$4:$L$200,1)&gt;0))</f>
        <v/>
      </c>
      <c r="I4" s="11">
        <f>IF(A4="","",--(COUNTIFS(INBOX!$C$4:$C$200,A4,INBOX!$M$4:$M$200,1)&gt;0))</f>
        <v/>
      </c>
      <c r="J4" s="11">
        <f>IF(A4="","",--(COUNTIFS(INBOX!$C$4:$C$200,A4,INBOX!$N$4:$N$200,1)&gt;0))</f>
        <v/>
      </c>
      <c r="K4" s="11">
        <f>IF(A4="","",--(AND(TODAY()&gt;E4,F4&lt;1)))</f>
        <v/>
      </c>
      <c r="L4" s="11">
        <f>IF(A4="","",--(NORMALIZED!K4&lt;0.6))</f>
        <v/>
      </c>
      <c r="M4" s="16">
        <f>IF(A4="","",(25*G4)+(20*H4)+(15*I4)+(15*J4)+(15*K4)+(10*L4))</f>
        <v/>
      </c>
      <c r="N4" s="11">
        <f>IF(A4="","",IF(M4&gt;=65,"RED",IF(M4&gt;=35,"AMBER","GREEN")))</f>
        <v/>
      </c>
      <c r="O4" s="11">
        <f>IF(A4="","",""&amp;NORMALIZED!R4)</f>
        <v/>
      </c>
    </row>
    <row r="5">
      <c r="A5" s="14">
        <f>IFERROR(NORMALIZED!A5,"")</f>
        <v/>
      </c>
      <c r="B5" s="14">
        <f>IF(A5="","",NORMALIZED!B5)</f>
        <v/>
      </c>
      <c r="C5" s="14">
        <f>IF(A5="","",NORMALIZED!F5)</f>
        <v/>
      </c>
      <c r="D5" s="14">
        <f>IF(A5="","",NORMALIZED!E5)</f>
        <v/>
      </c>
      <c r="E5" s="14">
        <f>IF(A5="","",NORMALIZED!H5)</f>
        <v/>
      </c>
      <c r="F5" s="15">
        <f>IF(A5="","",NORMALIZED!I5)</f>
        <v/>
      </c>
      <c r="G5" s="11">
        <f>IF(A5="","",--(COUNTIFS(INBOX!$C$4:$C$200,A5,INBOX!$K$4:$K$200,1)&gt;0))</f>
        <v/>
      </c>
      <c r="H5" s="11">
        <f>IF(A5="","",--(COUNTIFS(INBOX!$C$4:$C$200,A5,INBOX!$L$4:$L$200,1)&gt;0))</f>
        <v/>
      </c>
      <c r="I5" s="11">
        <f>IF(A5="","",--(COUNTIFS(INBOX!$C$4:$C$200,A5,INBOX!$M$4:$M$200,1)&gt;0))</f>
        <v/>
      </c>
      <c r="J5" s="11">
        <f>IF(A5="","",--(COUNTIFS(INBOX!$C$4:$C$200,A5,INBOX!$N$4:$N$200,1)&gt;0))</f>
        <v/>
      </c>
      <c r="K5" s="11">
        <f>IF(A5="","",--(AND(TODAY()&gt;E5,F5&lt;1)))</f>
        <v/>
      </c>
      <c r="L5" s="11">
        <f>IF(A5="","",--(NORMALIZED!K5&lt;0.6))</f>
        <v/>
      </c>
      <c r="M5" s="16">
        <f>IF(A5="","",(25*G5)+(20*H5)+(15*I5)+(15*J5)+(15*K5)+(10*L5))</f>
        <v/>
      </c>
      <c r="N5" s="11">
        <f>IF(A5="","",IF(M5&gt;=65,"RED",IF(M5&gt;=35,"AMBER","GREEN")))</f>
        <v/>
      </c>
      <c r="O5" s="11">
        <f>IF(A5="","",""&amp;NORMALIZED!R5)</f>
        <v/>
      </c>
    </row>
    <row r="6">
      <c r="A6" s="14">
        <f>IFERROR(NORMALIZED!A6,"")</f>
        <v/>
      </c>
      <c r="B6" s="14">
        <f>IF(A6="","",NORMALIZED!B6)</f>
        <v/>
      </c>
      <c r="C6" s="14">
        <f>IF(A6="","",NORMALIZED!F6)</f>
        <v/>
      </c>
      <c r="D6" s="14">
        <f>IF(A6="","",NORMALIZED!E6)</f>
        <v/>
      </c>
      <c r="E6" s="14">
        <f>IF(A6="","",NORMALIZED!H6)</f>
        <v/>
      </c>
      <c r="F6" s="15">
        <f>IF(A6="","",NORMALIZED!I6)</f>
        <v/>
      </c>
      <c r="G6" s="11">
        <f>IF(A6="","",--(COUNTIFS(INBOX!$C$4:$C$200,A6,INBOX!$K$4:$K$200,1)&gt;0))</f>
        <v/>
      </c>
      <c r="H6" s="11">
        <f>IF(A6="","",--(COUNTIFS(INBOX!$C$4:$C$200,A6,INBOX!$L$4:$L$200,1)&gt;0))</f>
        <v/>
      </c>
      <c r="I6" s="11">
        <f>IF(A6="","",--(COUNTIFS(INBOX!$C$4:$C$200,A6,INBOX!$M$4:$M$200,1)&gt;0))</f>
        <v/>
      </c>
      <c r="J6" s="11">
        <f>IF(A6="","",--(COUNTIFS(INBOX!$C$4:$C$200,A6,INBOX!$N$4:$N$200,1)&gt;0))</f>
        <v/>
      </c>
      <c r="K6" s="11">
        <f>IF(A6="","",--(AND(TODAY()&gt;E6,F6&lt;1)))</f>
        <v/>
      </c>
      <c r="L6" s="11">
        <f>IF(A6="","",--(NORMALIZED!K6&lt;0.6))</f>
        <v/>
      </c>
      <c r="M6" s="16">
        <f>IF(A6="","",(25*G6)+(20*H6)+(15*I6)+(15*J6)+(15*K6)+(10*L6))</f>
        <v/>
      </c>
      <c r="N6" s="11">
        <f>IF(A6="","",IF(M6&gt;=65,"RED",IF(M6&gt;=35,"AMBER","GREEN")))</f>
        <v/>
      </c>
      <c r="O6" s="11">
        <f>IF(A6="","",""&amp;NORMALIZED!R6)</f>
        <v/>
      </c>
    </row>
    <row r="7">
      <c r="A7" s="14">
        <f>IFERROR(NORMALIZED!A7,"")</f>
        <v/>
      </c>
      <c r="B7" s="14">
        <f>IF(A7="","",NORMALIZED!B7)</f>
        <v/>
      </c>
      <c r="C7" s="14">
        <f>IF(A7="","",NORMALIZED!F7)</f>
        <v/>
      </c>
      <c r="D7" s="14">
        <f>IF(A7="","",NORMALIZED!E7)</f>
        <v/>
      </c>
      <c r="E7" s="14">
        <f>IF(A7="","",NORMALIZED!H7)</f>
        <v/>
      </c>
      <c r="F7" s="15">
        <f>IF(A7="","",NORMALIZED!I7)</f>
        <v/>
      </c>
      <c r="G7" s="11">
        <f>IF(A7="","",--(COUNTIFS(INBOX!$C$4:$C$200,A7,INBOX!$K$4:$K$200,1)&gt;0))</f>
        <v/>
      </c>
      <c r="H7" s="11">
        <f>IF(A7="","",--(COUNTIFS(INBOX!$C$4:$C$200,A7,INBOX!$L$4:$L$200,1)&gt;0))</f>
        <v/>
      </c>
      <c r="I7" s="11">
        <f>IF(A7="","",--(COUNTIFS(INBOX!$C$4:$C$200,A7,INBOX!$M$4:$M$200,1)&gt;0))</f>
        <v/>
      </c>
      <c r="J7" s="11">
        <f>IF(A7="","",--(COUNTIFS(INBOX!$C$4:$C$200,A7,INBOX!$N$4:$N$200,1)&gt;0))</f>
        <v/>
      </c>
      <c r="K7" s="11">
        <f>IF(A7="","",--(AND(TODAY()&gt;E7,F7&lt;1)))</f>
        <v/>
      </c>
      <c r="L7" s="11">
        <f>IF(A7="","",--(NORMALIZED!K7&lt;0.6))</f>
        <v/>
      </c>
      <c r="M7" s="16">
        <f>IF(A7="","",(25*G7)+(20*H7)+(15*I7)+(15*J7)+(15*K7)+(10*L7))</f>
        <v/>
      </c>
      <c r="N7" s="11">
        <f>IF(A7="","",IF(M7&gt;=65,"RED",IF(M7&gt;=35,"AMBER","GREEN")))</f>
        <v/>
      </c>
      <c r="O7" s="11">
        <f>IF(A7="","",""&amp;NORMALIZED!R7)</f>
        <v/>
      </c>
    </row>
    <row r="8">
      <c r="A8" s="14">
        <f>IFERROR(NORMALIZED!A8,"")</f>
        <v/>
      </c>
      <c r="B8" s="14">
        <f>IF(A8="","",NORMALIZED!B8)</f>
        <v/>
      </c>
      <c r="C8" s="14">
        <f>IF(A8="","",NORMALIZED!F8)</f>
        <v/>
      </c>
      <c r="D8" s="14">
        <f>IF(A8="","",NORMALIZED!E8)</f>
        <v/>
      </c>
      <c r="E8" s="14">
        <f>IF(A8="","",NORMALIZED!H8)</f>
        <v/>
      </c>
      <c r="F8" s="15">
        <f>IF(A8="","",NORMALIZED!I8)</f>
        <v/>
      </c>
      <c r="G8" s="11">
        <f>IF(A8="","",--(COUNTIFS(INBOX!$C$4:$C$200,A8,INBOX!$K$4:$K$200,1)&gt;0))</f>
        <v/>
      </c>
      <c r="H8" s="11">
        <f>IF(A8="","",--(COUNTIFS(INBOX!$C$4:$C$200,A8,INBOX!$L$4:$L$200,1)&gt;0))</f>
        <v/>
      </c>
      <c r="I8" s="11">
        <f>IF(A8="","",--(COUNTIFS(INBOX!$C$4:$C$200,A8,INBOX!$M$4:$M$200,1)&gt;0))</f>
        <v/>
      </c>
      <c r="J8" s="11">
        <f>IF(A8="","",--(COUNTIFS(INBOX!$C$4:$C$200,A8,INBOX!$N$4:$N$200,1)&gt;0))</f>
        <v/>
      </c>
      <c r="K8" s="11">
        <f>IF(A8="","",--(AND(TODAY()&gt;E8,F8&lt;1)))</f>
        <v/>
      </c>
      <c r="L8" s="11">
        <f>IF(A8="","",--(NORMALIZED!K8&lt;0.6))</f>
        <v/>
      </c>
      <c r="M8" s="16">
        <f>IF(A8="","",(25*G8)+(20*H8)+(15*I8)+(15*J8)+(15*K8)+(10*L8))</f>
        <v/>
      </c>
      <c r="N8" s="11">
        <f>IF(A8="","",IF(M8&gt;=65,"RED",IF(M8&gt;=35,"AMBER","GREEN")))</f>
        <v/>
      </c>
      <c r="O8" s="11">
        <f>IF(A8="","",""&amp;NORMALIZED!R8)</f>
        <v/>
      </c>
    </row>
    <row r="9">
      <c r="A9" s="14">
        <f>IFERROR(NORMALIZED!A9,"")</f>
        <v/>
      </c>
      <c r="B9" s="14">
        <f>IF(A9="","",NORMALIZED!B9)</f>
        <v/>
      </c>
      <c r="C9" s="14">
        <f>IF(A9="","",NORMALIZED!F9)</f>
        <v/>
      </c>
      <c r="D9" s="14">
        <f>IF(A9="","",NORMALIZED!E9)</f>
        <v/>
      </c>
      <c r="E9" s="14">
        <f>IF(A9="","",NORMALIZED!H9)</f>
        <v/>
      </c>
      <c r="F9" s="15">
        <f>IF(A9="","",NORMALIZED!I9)</f>
        <v/>
      </c>
      <c r="G9" s="11">
        <f>IF(A9="","",--(COUNTIFS(INBOX!$C$4:$C$200,A9,INBOX!$K$4:$K$200,1)&gt;0))</f>
        <v/>
      </c>
      <c r="H9" s="11">
        <f>IF(A9="","",--(COUNTIFS(INBOX!$C$4:$C$200,A9,INBOX!$L$4:$L$200,1)&gt;0))</f>
        <v/>
      </c>
      <c r="I9" s="11">
        <f>IF(A9="","",--(COUNTIFS(INBOX!$C$4:$C$200,A9,INBOX!$M$4:$M$200,1)&gt;0))</f>
        <v/>
      </c>
      <c r="J9" s="11">
        <f>IF(A9="","",--(COUNTIFS(INBOX!$C$4:$C$200,A9,INBOX!$N$4:$N$200,1)&gt;0))</f>
        <v/>
      </c>
      <c r="K9" s="11">
        <f>IF(A9="","",--(AND(TODAY()&gt;E9,F9&lt;1)))</f>
        <v/>
      </c>
      <c r="L9" s="11">
        <f>IF(A9="","",--(NORMALIZED!K9&lt;0.6))</f>
        <v/>
      </c>
      <c r="M9" s="16">
        <f>IF(A9="","",(25*G9)+(20*H9)+(15*I9)+(15*J9)+(15*K9)+(10*L9))</f>
        <v/>
      </c>
      <c r="N9" s="11">
        <f>IF(A9="","",IF(M9&gt;=65,"RED",IF(M9&gt;=35,"AMBER","GREEN")))</f>
        <v/>
      </c>
      <c r="O9" s="11">
        <f>IF(A9="","",""&amp;NORMALIZED!R9)</f>
        <v/>
      </c>
    </row>
    <row r="10">
      <c r="A10" s="14">
        <f>IFERROR(NORMALIZED!A10,"")</f>
        <v/>
      </c>
      <c r="B10" s="14">
        <f>IF(A10="","",NORMALIZED!B10)</f>
        <v/>
      </c>
      <c r="C10" s="14">
        <f>IF(A10="","",NORMALIZED!F10)</f>
        <v/>
      </c>
      <c r="D10" s="14">
        <f>IF(A10="","",NORMALIZED!E10)</f>
        <v/>
      </c>
      <c r="E10" s="14">
        <f>IF(A10="","",NORMALIZED!H10)</f>
        <v/>
      </c>
      <c r="F10" s="15">
        <f>IF(A10="","",NORMALIZED!I10)</f>
        <v/>
      </c>
      <c r="G10" s="11">
        <f>IF(A10="","",--(COUNTIFS(INBOX!$C$4:$C$200,A10,INBOX!$K$4:$K$200,1)&gt;0))</f>
        <v/>
      </c>
      <c r="H10" s="11">
        <f>IF(A10="","",--(COUNTIFS(INBOX!$C$4:$C$200,A10,INBOX!$L$4:$L$200,1)&gt;0))</f>
        <v/>
      </c>
      <c r="I10" s="11">
        <f>IF(A10="","",--(COUNTIFS(INBOX!$C$4:$C$200,A10,INBOX!$M$4:$M$200,1)&gt;0))</f>
        <v/>
      </c>
      <c r="J10" s="11">
        <f>IF(A10="","",--(COUNTIFS(INBOX!$C$4:$C$200,A10,INBOX!$N$4:$N$200,1)&gt;0))</f>
        <v/>
      </c>
      <c r="K10" s="11">
        <f>IF(A10="","",--(AND(TODAY()&gt;E10,F10&lt;1)))</f>
        <v/>
      </c>
      <c r="L10" s="11">
        <f>IF(A10="","",--(NORMALIZED!K10&lt;0.6))</f>
        <v/>
      </c>
      <c r="M10" s="16">
        <f>IF(A10="","",(25*G10)+(20*H10)+(15*I10)+(15*J10)+(15*K10)+(10*L10))</f>
        <v/>
      </c>
      <c r="N10" s="11">
        <f>IF(A10="","",IF(M10&gt;=65,"RED",IF(M10&gt;=35,"AMBER","GREEN")))</f>
        <v/>
      </c>
      <c r="O10" s="11">
        <f>IF(A10="","",""&amp;NORMALIZED!R10)</f>
        <v/>
      </c>
    </row>
    <row r="11">
      <c r="A11" s="14">
        <f>IFERROR(NORMALIZED!A11,"")</f>
        <v/>
      </c>
      <c r="B11" s="14">
        <f>IF(A11="","",NORMALIZED!B11)</f>
        <v/>
      </c>
      <c r="C11" s="14">
        <f>IF(A11="","",NORMALIZED!F11)</f>
        <v/>
      </c>
      <c r="D11" s="14">
        <f>IF(A11="","",NORMALIZED!E11)</f>
        <v/>
      </c>
      <c r="E11" s="14">
        <f>IF(A11="","",NORMALIZED!H11)</f>
        <v/>
      </c>
      <c r="F11" s="15">
        <f>IF(A11="","",NORMALIZED!I11)</f>
        <v/>
      </c>
      <c r="G11" s="11">
        <f>IF(A11="","",--(COUNTIFS(INBOX!$C$4:$C$200,A11,INBOX!$K$4:$K$200,1)&gt;0))</f>
        <v/>
      </c>
      <c r="H11" s="11">
        <f>IF(A11="","",--(COUNTIFS(INBOX!$C$4:$C$200,A11,INBOX!$L$4:$L$200,1)&gt;0))</f>
        <v/>
      </c>
      <c r="I11" s="11">
        <f>IF(A11="","",--(COUNTIFS(INBOX!$C$4:$C$200,A11,INBOX!$M$4:$M$200,1)&gt;0))</f>
        <v/>
      </c>
      <c r="J11" s="11">
        <f>IF(A11="","",--(COUNTIFS(INBOX!$C$4:$C$200,A11,INBOX!$N$4:$N$200,1)&gt;0))</f>
        <v/>
      </c>
      <c r="K11" s="11">
        <f>IF(A11="","",--(AND(TODAY()&gt;E11,F11&lt;1)))</f>
        <v/>
      </c>
      <c r="L11" s="11">
        <f>IF(A11="","",--(NORMALIZED!K11&lt;0.6))</f>
        <v/>
      </c>
      <c r="M11" s="16">
        <f>IF(A11="","",(25*G11)+(20*H11)+(15*I11)+(15*J11)+(15*K11)+(10*L11))</f>
        <v/>
      </c>
      <c r="N11" s="11">
        <f>IF(A11="","",IF(M11&gt;=65,"RED",IF(M11&gt;=35,"AMBER","GREEN")))</f>
        <v/>
      </c>
      <c r="O11" s="11">
        <f>IF(A11="","",""&amp;NORMALIZED!R11)</f>
        <v/>
      </c>
    </row>
    <row r="12">
      <c r="A12" s="14">
        <f>IFERROR(NORMALIZED!A12,"")</f>
        <v/>
      </c>
      <c r="B12" s="14">
        <f>IF(A12="","",NORMALIZED!B12)</f>
        <v/>
      </c>
      <c r="C12" s="14">
        <f>IF(A12="","",NORMALIZED!F12)</f>
        <v/>
      </c>
      <c r="D12" s="14">
        <f>IF(A12="","",NORMALIZED!E12)</f>
        <v/>
      </c>
      <c r="E12" s="14">
        <f>IF(A12="","",NORMALIZED!H12)</f>
        <v/>
      </c>
      <c r="F12" s="15">
        <f>IF(A12="","",NORMALIZED!I12)</f>
        <v/>
      </c>
      <c r="G12" s="11">
        <f>IF(A12="","",--(COUNTIFS(INBOX!$C$4:$C$200,A12,INBOX!$K$4:$K$200,1)&gt;0))</f>
        <v/>
      </c>
      <c r="H12" s="11">
        <f>IF(A12="","",--(COUNTIFS(INBOX!$C$4:$C$200,A12,INBOX!$L$4:$L$200,1)&gt;0))</f>
        <v/>
      </c>
      <c r="I12" s="11">
        <f>IF(A12="","",--(COUNTIFS(INBOX!$C$4:$C$200,A12,INBOX!$M$4:$M$200,1)&gt;0))</f>
        <v/>
      </c>
      <c r="J12" s="11">
        <f>IF(A12="","",--(COUNTIFS(INBOX!$C$4:$C$200,A12,INBOX!$N$4:$N$200,1)&gt;0))</f>
        <v/>
      </c>
      <c r="K12" s="11">
        <f>IF(A12="","",--(AND(TODAY()&gt;E12,F12&lt;1)))</f>
        <v/>
      </c>
      <c r="L12" s="11">
        <f>IF(A12="","",--(NORMALIZED!K12&lt;0.6))</f>
        <v/>
      </c>
      <c r="M12" s="16">
        <f>IF(A12="","",(25*G12)+(20*H12)+(15*I12)+(15*J12)+(15*K12)+(10*L12))</f>
        <v/>
      </c>
      <c r="N12" s="11">
        <f>IF(A12="","",IF(M12&gt;=65,"RED",IF(M12&gt;=35,"AMBER","GREEN")))</f>
        <v/>
      </c>
      <c r="O12" s="11">
        <f>IF(A12="","",""&amp;NORMALIZED!R12)</f>
        <v/>
      </c>
    </row>
    <row r="13">
      <c r="A13" s="14">
        <f>IFERROR(NORMALIZED!A13,"")</f>
        <v/>
      </c>
      <c r="B13" s="14">
        <f>IF(A13="","",NORMALIZED!B13)</f>
        <v/>
      </c>
      <c r="C13" s="14">
        <f>IF(A13="","",NORMALIZED!F13)</f>
        <v/>
      </c>
      <c r="D13" s="14">
        <f>IF(A13="","",NORMALIZED!E13)</f>
        <v/>
      </c>
      <c r="E13" s="14">
        <f>IF(A13="","",NORMALIZED!H13)</f>
        <v/>
      </c>
      <c r="F13" s="15">
        <f>IF(A13="","",NORMALIZED!I13)</f>
        <v/>
      </c>
      <c r="G13" s="11">
        <f>IF(A13="","",--(COUNTIFS(INBOX!$C$4:$C$200,A13,INBOX!$K$4:$K$200,1)&gt;0))</f>
        <v/>
      </c>
      <c r="H13" s="11">
        <f>IF(A13="","",--(COUNTIFS(INBOX!$C$4:$C$200,A13,INBOX!$L$4:$L$200,1)&gt;0))</f>
        <v/>
      </c>
      <c r="I13" s="11">
        <f>IF(A13="","",--(COUNTIFS(INBOX!$C$4:$C$200,A13,INBOX!$M$4:$M$200,1)&gt;0))</f>
        <v/>
      </c>
      <c r="J13" s="11">
        <f>IF(A13="","",--(COUNTIFS(INBOX!$C$4:$C$200,A13,INBOX!$N$4:$N$200,1)&gt;0))</f>
        <v/>
      </c>
      <c r="K13" s="11">
        <f>IF(A13="","",--(AND(TODAY()&gt;E13,F13&lt;1)))</f>
        <v/>
      </c>
      <c r="L13" s="11">
        <f>IF(A13="","",--(NORMALIZED!K13&lt;0.6))</f>
        <v/>
      </c>
      <c r="M13" s="16">
        <f>IF(A13="","",(25*G13)+(20*H13)+(15*I13)+(15*J13)+(15*K13)+(10*L13))</f>
        <v/>
      </c>
      <c r="N13" s="11">
        <f>IF(A13="","",IF(M13&gt;=65,"RED",IF(M13&gt;=35,"AMBER","GREEN")))</f>
        <v/>
      </c>
      <c r="O13" s="11">
        <f>IF(A13="","",""&amp;NORMALIZED!R13)</f>
        <v/>
      </c>
    </row>
    <row r="14">
      <c r="A14" s="14">
        <f>IFERROR(NORMALIZED!A14,"")</f>
        <v/>
      </c>
      <c r="B14" s="14">
        <f>IF(A14="","",NORMALIZED!B14)</f>
        <v/>
      </c>
      <c r="C14" s="14">
        <f>IF(A14="","",NORMALIZED!F14)</f>
        <v/>
      </c>
      <c r="D14" s="14">
        <f>IF(A14="","",NORMALIZED!E14)</f>
        <v/>
      </c>
      <c r="E14" s="14">
        <f>IF(A14="","",NORMALIZED!H14)</f>
        <v/>
      </c>
      <c r="F14" s="15">
        <f>IF(A14="","",NORMALIZED!I14)</f>
        <v/>
      </c>
      <c r="G14" s="11">
        <f>IF(A14="","",--(COUNTIFS(INBOX!$C$4:$C$200,A14,INBOX!$K$4:$K$200,1)&gt;0))</f>
        <v/>
      </c>
      <c r="H14" s="11">
        <f>IF(A14="","",--(COUNTIFS(INBOX!$C$4:$C$200,A14,INBOX!$L$4:$L$200,1)&gt;0))</f>
        <v/>
      </c>
      <c r="I14" s="11">
        <f>IF(A14="","",--(COUNTIFS(INBOX!$C$4:$C$200,A14,INBOX!$M$4:$M$200,1)&gt;0))</f>
        <v/>
      </c>
      <c r="J14" s="11">
        <f>IF(A14="","",--(COUNTIFS(INBOX!$C$4:$C$200,A14,INBOX!$N$4:$N$200,1)&gt;0))</f>
        <v/>
      </c>
      <c r="K14" s="11">
        <f>IF(A14="","",--(AND(TODAY()&gt;E14,F14&lt;1)))</f>
        <v/>
      </c>
      <c r="L14" s="11">
        <f>IF(A14="","",--(NORMALIZED!K14&lt;0.6))</f>
        <v/>
      </c>
      <c r="M14" s="16">
        <f>IF(A14="","",(25*G14)+(20*H14)+(15*I14)+(15*J14)+(15*K14)+(10*L14))</f>
        <v/>
      </c>
      <c r="N14" s="11">
        <f>IF(A14="","",IF(M14&gt;=65,"RED",IF(M14&gt;=35,"AMBER","GREEN")))</f>
        <v/>
      </c>
      <c r="O14" s="11">
        <f>IF(A14="","",""&amp;NORMALIZED!R14)</f>
        <v/>
      </c>
    </row>
    <row r="15">
      <c r="A15" s="14">
        <f>IFERROR(NORMALIZED!A15,"")</f>
        <v/>
      </c>
      <c r="B15" s="14">
        <f>IF(A15="","",NORMALIZED!B15)</f>
        <v/>
      </c>
      <c r="C15" s="14">
        <f>IF(A15="","",NORMALIZED!F15)</f>
        <v/>
      </c>
      <c r="D15" s="14">
        <f>IF(A15="","",NORMALIZED!E15)</f>
        <v/>
      </c>
      <c r="E15" s="14">
        <f>IF(A15="","",NORMALIZED!H15)</f>
        <v/>
      </c>
      <c r="F15" s="15">
        <f>IF(A15="","",NORMALIZED!I15)</f>
        <v/>
      </c>
      <c r="G15" s="11">
        <f>IF(A15="","",--(COUNTIFS(INBOX!$C$4:$C$200,A15,INBOX!$K$4:$K$200,1)&gt;0))</f>
        <v/>
      </c>
      <c r="H15" s="11">
        <f>IF(A15="","",--(COUNTIFS(INBOX!$C$4:$C$200,A15,INBOX!$L$4:$L$200,1)&gt;0))</f>
        <v/>
      </c>
      <c r="I15" s="11">
        <f>IF(A15="","",--(COUNTIFS(INBOX!$C$4:$C$200,A15,INBOX!$M$4:$M$200,1)&gt;0))</f>
        <v/>
      </c>
      <c r="J15" s="11">
        <f>IF(A15="","",--(COUNTIFS(INBOX!$C$4:$C$200,A15,INBOX!$N$4:$N$200,1)&gt;0))</f>
        <v/>
      </c>
      <c r="K15" s="11">
        <f>IF(A15="","",--(AND(TODAY()&gt;E15,F15&lt;1)))</f>
        <v/>
      </c>
      <c r="L15" s="11">
        <f>IF(A15="","",--(NORMALIZED!K15&lt;0.6))</f>
        <v/>
      </c>
      <c r="M15" s="16">
        <f>IF(A15="","",(25*G15)+(20*H15)+(15*I15)+(15*J15)+(15*K15)+(10*L15))</f>
        <v/>
      </c>
      <c r="N15" s="11">
        <f>IF(A15="","",IF(M15&gt;=65,"RED",IF(M15&gt;=35,"AMBER","GREEN")))</f>
        <v/>
      </c>
      <c r="O15" s="11">
        <f>IF(A15="","",""&amp;NORMALIZED!R15)</f>
        <v/>
      </c>
    </row>
    <row r="16">
      <c r="A16" s="14">
        <f>IFERROR(NORMALIZED!A16,"")</f>
        <v/>
      </c>
      <c r="B16" s="14">
        <f>IF(A16="","",NORMALIZED!B16)</f>
        <v/>
      </c>
      <c r="C16" s="14">
        <f>IF(A16="","",NORMALIZED!F16)</f>
        <v/>
      </c>
      <c r="D16" s="14">
        <f>IF(A16="","",NORMALIZED!E16)</f>
        <v/>
      </c>
      <c r="E16" s="14">
        <f>IF(A16="","",NORMALIZED!H16)</f>
        <v/>
      </c>
      <c r="F16" s="15">
        <f>IF(A16="","",NORMALIZED!I16)</f>
        <v/>
      </c>
      <c r="G16" s="11">
        <f>IF(A16="","",--(COUNTIFS(INBOX!$C$4:$C$200,A16,INBOX!$K$4:$K$200,1)&gt;0))</f>
        <v/>
      </c>
      <c r="H16" s="11">
        <f>IF(A16="","",--(COUNTIFS(INBOX!$C$4:$C$200,A16,INBOX!$L$4:$L$200,1)&gt;0))</f>
        <v/>
      </c>
      <c r="I16" s="11">
        <f>IF(A16="","",--(COUNTIFS(INBOX!$C$4:$C$200,A16,INBOX!$M$4:$M$200,1)&gt;0))</f>
        <v/>
      </c>
      <c r="J16" s="11">
        <f>IF(A16="","",--(COUNTIFS(INBOX!$C$4:$C$200,A16,INBOX!$N$4:$N$200,1)&gt;0))</f>
        <v/>
      </c>
      <c r="K16" s="11">
        <f>IF(A16="","",--(AND(TODAY()&gt;E16,F16&lt;1)))</f>
        <v/>
      </c>
      <c r="L16" s="11">
        <f>IF(A16="","",--(NORMALIZED!K16&lt;0.6))</f>
        <v/>
      </c>
      <c r="M16" s="16">
        <f>IF(A16="","",(25*G16)+(20*H16)+(15*I16)+(15*J16)+(15*K16)+(10*L16))</f>
        <v/>
      </c>
      <c r="N16" s="11">
        <f>IF(A16="","",IF(M16&gt;=65,"RED",IF(M16&gt;=35,"AMBER","GREEN")))</f>
        <v/>
      </c>
      <c r="O16" s="11">
        <f>IF(A16="","",""&amp;NORMALIZED!R16)</f>
        <v/>
      </c>
    </row>
    <row r="17">
      <c r="A17" s="14">
        <f>IFERROR(NORMALIZED!A17,"")</f>
        <v/>
      </c>
      <c r="B17" s="14">
        <f>IF(A17="","",NORMALIZED!B17)</f>
        <v/>
      </c>
      <c r="C17" s="14">
        <f>IF(A17="","",NORMALIZED!F17)</f>
        <v/>
      </c>
      <c r="D17" s="14">
        <f>IF(A17="","",NORMALIZED!E17)</f>
        <v/>
      </c>
      <c r="E17" s="14">
        <f>IF(A17="","",NORMALIZED!H17)</f>
        <v/>
      </c>
      <c r="F17" s="15">
        <f>IF(A17="","",NORMALIZED!I17)</f>
        <v/>
      </c>
      <c r="G17" s="11">
        <f>IF(A17="","",--(COUNTIFS(INBOX!$C$4:$C$200,A17,INBOX!$K$4:$K$200,1)&gt;0))</f>
        <v/>
      </c>
      <c r="H17" s="11">
        <f>IF(A17="","",--(COUNTIFS(INBOX!$C$4:$C$200,A17,INBOX!$L$4:$L$200,1)&gt;0))</f>
        <v/>
      </c>
      <c r="I17" s="11">
        <f>IF(A17="","",--(COUNTIFS(INBOX!$C$4:$C$200,A17,INBOX!$M$4:$M$200,1)&gt;0))</f>
        <v/>
      </c>
      <c r="J17" s="11">
        <f>IF(A17="","",--(COUNTIFS(INBOX!$C$4:$C$200,A17,INBOX!$N$4:$N$200,1)&gt;0))</f>
        <v/>
      </c>
      <c r="K17" s="11">
        <f>IF(A17="","",--(AND(TODAY()&gt;E17,F17&lt;1)))</f>
        <v/>
      </c>
      <c r="L17" s="11">
        <f>IF(A17="","",--(NORMALIZED!K17&lt;0.6))</f>
        <v/>
      </c>
      <c r="M17" s="16">
        <f>IF(A17="","",(25*G17)+(20*H17)+(15*I17)+(15*J17)+(15*K17)+(10*L17))</f>
        <v/>
      </c>
      <c r="N17" s="11">
        <f>IF(A17="","",IF(M17&gt;=65,"RED",IF(M17&gt;=35,"AMBER","GREEN")))</f>
        <v/>
      </c>
      <c r="O17" s="11">
        <f>IF(A17="","",""&amp;NORMALIZED!R17)</f>
        <v/>
      </c>
    </row>
    <row r="18">
      <c r="A18" s="14">
        <f>IFERROR(NORMALIZED!A18,"")</f>
        <v/>
      </c>
      <c r="B18" s="14">
        <f>IF(A18="","",NORMALIZED!B18)</f>
        <v/>
      </c>
      <c r="C18" s="14">
        <f>IF(A18="","",NORMALIZED!F18)</f>
        <v/>
      </c>
      <c r="D18" s="14">
        <f>IF(A18="","",NORMALIZED!E18)</f>
        <v/>
      </c>
      <c r="E18" s="14">
        <f>IF(A18="","",NORMALIZED!H18)</f>
        <v/>
      </c>
      <c r="F18" s="15">
        <f>IF(A18="","",NORMALIZED!I18)</f>
        <v/>
      </c>
      <c r="G18" s="11">
        <f>IF(A18="","",--(COUNTIFS(INBOX!$C$4:$C$200,A18,INBOX!$K$4:$K$200,1)&gt;0))</f>
        <v/>
      </c>
      <c r="H18" s="11">
        <f>IF(A18="","",--(COUNTIFS(INBOX!$C$4:$C$200,A18,INBOX!$L$4:$L$200,1)&gt;0))</f>
        <v/>
      </c>
      <c r="I18" s="11">
        <f>IF(A18="","",--(COUNTIFS(INBOX!$C$4:$C$200,A18,INBOX!$M$4:$M$200,1)&gt;0))</f>
        <v/>
      </c>
      <c r="J18" s="11">
        <f>IF(A18="","",--(COUNTIFS(INBOX!$C$4:$C$200,A18,INBOX!$N$4:$N$200,1)&gt;0))</f>
        <v/>
      </c>
      <c r="K18" s="11">
        <f>IF(A18="","",--(AND(TODAY()&gt;E18,F18&lt;1)))</f>
        <v/>
      </c>
      <c r="L18" s="11">
        <f>IF(A18="","",--(NORMALIZED!K18&lt;0.6))</f>
        <v/>
      </c>
      <c r="M18" s="16">
        <f>IF(A18="","",(25*G18)+(20*H18)+(15*I18)+(15*J18)+(15*K18)+(10*L18))</f>
        <v/>
      </c>
      <c r="N18" s="11">
        <f>IF(A18="","",IF(M18&gt;=65,"RED",IF(M18&gt;=35,"AMBER","GREEN")))</f>
        <v/>
      </c>
      <c r="O18" s="11">
        <f>IF(A18="","",""&amp;NORMALIZED!R18)</f>
        <v/>
      </c>
    </row>
    <row r="19">
      <c r="A19" s="14">
        <f>IFERROR(NORMALIZED!A19,"")</f>
        <v/>
      </c>
      <c r="B19" s="14">
        <f>IF(A19="","",NORMALIZED!B19)</f>
        <v/>
      </c>
      <c r="C19" s="14">
        <f>IF(A19="","",NORMALIZED!F19)</f>
        <v/>
      </c>
      <c r="D19" s="14">
        <f>IF(A19="","",NORMALIZED!E19)</f>
        <v/>
      </c>
      <c r="E19" s="14">
        <f>IF(A19="","",NORMALIZED!H19)</f>
        <v/>
      </c>
      <c r="F19" s="15">
        <f>IF(A19="","",NORMALIZED!I19)</f>
        <v/>
      </c>
      <c r="G19" s="11">
        <f>IF(A19="","",--(COUNTIFS(INBOX!$C$4:$C$200,A19,INBOX!$K$4:$K$200,1)&gt;0))</f>
        <v/>
      </c>
      <c r="H19" s="11">
        <f>IF(A19="","",--(COUNTIFS(INBOX!$C$4:$C$200,A19,INBOX!$L$4:$L$200,1)&gt;0))</f>
        <v/>
      </c>
      <c r="I19" s="11">
        <f>IF(A19="","",--(COUNTIFS(INBOX!$C$4:$C$200,A19,INBOX!$M$4:$M$200,1)&gt;0))</f>
        <v/>
      </c>
      <c r="J19" s="11">
        <f>IF(A19="","",--(COUNTIFS(INBOX!$C$4:$C$200,A19,INBOX!$N$4:$N$200,1)&gt;0))</f>
        <v/>
      </c>
      <c r="K19" s="11">
        <f>IF(A19="","",--(AND(TODAY()&gt;E19,F19&lt;1)))</f>
        <v/>
      </c>
      <c r="L19" s="11">
        <f>IF(A19="","",--(NORMALIZED!K19&lt;0.6))</f>
        <v/>
      </c>
      <c r="M19" s="16">
        <f>IF(A19="","",(25*G19)+(20*H19)+(15*I19)+(15*J19)+(15*K19)+(10*L19))</f>
        <v/>
      </c>
      <c r="N19" s="11">
        <f>IF(A19="","",IF(M19&gt;=65,"RED",IF(M19&gt;=35,"AMBER","GREEN")))</f>
        <v/>
      </c>
      <c r="O19" s="11">
        <f>IF(A19="","",""&amp;NORMALIZED!R19)</f>
        <v/>
      </c>
    </row>
    <row r="20">
      <c r="A20" s="14">
        <f>IFERROR(NORMALIZED!A20,"")</f>
        <v/>
      </c>
      <c r="B20" s="14">
        <f>IF(A20="","",NORMALIZED!B20)</f>
        <v/>
      </c>
      <c r="C20" s="14">
        <f>IF(A20="","",NORMALIZED!F20)</f>
        <v/>
      </c>
      <c r="D20" s="14">
        <f>IF(A20="","",NORMALIZED!E20)</f>
        <v/>
      </c>
      <c r="E20" s="14">
        <f>IF(A20="","",NORMALIZED!H20)</f>
        <v/>
      </c>
      <c r="F20" s="15">
        <f>IF(A20="","",NORMALIZED!I20)</f>
        <v/>
      </c>
      <c r="G20" s="11">
        <f>IF(A20="","",--(COUNTIFS(INBOX!$C$4:$C$200,A20,INBOX!$K$4:$K$200,1)&gt;0))</f>
        <v/>
      </c>
      <c r="H20" s="11">
        <f>IF(A20="","",--(COUNTIFS(INBOX!$C$4:$C$200,A20,INBOX!$L$4:$L$200,1)&gt;0))</f>
        <v/>
      </c>
      <c r="I20" s="11">
        <f>IF(A20="","",--(COUNTIFS(INBOX!$C$4:$C$200,A20,INBOX!$M$4:$M$200,1)&gt;0))</f>
        <v/>
      </c>
      <c r="J20" s="11">
        <f>IF(A20="","",--(COUNTIFS(INBOX!$C$4:$C$200,A20,INBOX!$N$4:$N$200,1)&gt;0))</f>
        <v/>
      </c>
      <c r="K20" s="11">
        <f>IF(A20="","",--(AND(TODAY()&gt;E20,F20&lt;1)))</f>
        <v/>
      </c>
      <c r="L20" s="11">
        <f>IF(A20="","",--(NORMALIZED!K20&lt;0.6))</f>
        <v/>
      </c>
      <c r="M20" s="16">
        <f>IF(A20="","",(25*G20)+(20*H20)+(15*I20)+(15*J20)+(15*K20)+(10*L20))</f>
        <v/>
      </c>
      <c r="N20" s="11">
        <f>IF(A20="","",IF(M20&gt;=65,"RED",IF(M20&gt;=35,"AMBER","GREEN")))</f>
        <v/>
      </c>
      <c r="O20" s="11">
        <f>IF(A20="","",""&amp;NORMALIZED!R20)</f>
        <v/>
      </c>
    </row>
    <row r="21">
      <c r="A21" s="14">
        <f>IFERROR(NORMALIZED!A21,"")</f>
        <v/>
      </c>
      <c r="B21" s="14">
        <f>IF(A21="","",NORMALIZED!B21)</f>
        <v/>
      </c>
      <c r="C21" s="14">
        <f>IF(A21="","",NORMALIZED!F21)</f>
        <v/>
      </c>
      <c r="D21" s="14">
        <f>IF(A21="","",NORMALIZED!E21)</f>
        <v/>
      </c>
      <c r="E21" s="14">
        <f>IF(A21="","",NORMALIZED!H21)</f>
        <v/>
      </c>
      <c r="F21" s="15">
        <f>IF(A21="","",NORMALIZED!I21)</f>
        <v/>
      </c>
      <c r="G21" s="11">
        <f>IF(A21="","",--(COUNTIFS(INBOX!$C$4:$C$200,A21,INBOX!$K$4:$K$200,1)&gt;0))</f>
        <v/>
      </c>
      <c r="H21" s="11">
        <f>IF(A21="","",--(COUNTIFS(INBOX!$C$4:$C$200,A21,INBOX!$L$4:$L$200,1)&gt;0))</f>
        <v/>
      </c>
      <c r="I21" s="11">
        <f>IF(A21="","",--(COUNTIFS(INBOX!$C$4:$C$200,A21,INBOX!$M$4:$M$200,1)&gt;0))</f>
        <v/>
      </c>
      <c r="J21" s="11">
        <f>IF(A21="","",--(COUNTIFS(INBOX!$C$4:$C$200,A21,INBOX!$N$4:$N$200,1)&gt;0))</f>
        <v/>
      </c>
      <c r="K21" s="11">
        <f>IF(A21="","",--(AND(TODAY()&gt;E21,F21&lt;1)))</f>
        <v/>
      </c>
      <c r="L21" s="11">
        <f>IF(A21="","",--(NORMALIZED!K21&lt;0.6))</f>
        <v/>
      </c>
      <c r="M21" s="16">
        <f>IF(A21="","",(25*G21)+(20*H21)+(15*I21)+(15*J21)+(15*K21)+(10*L21))</f>
        <v/>
      </c>
      <c r="N21" s="11">
        <f>IF(A21="","",IF(M21&gt;=65,"RED",IF(M21&gt;=35,"AMBER","GREEN")))</f>
        <v/>
      </c>
      <c r="O21" s="11">
        <f>IF(A21="","",""&amp;NORMALIZED!R21)</f>
        <v/>
      </c>
    </row>
    <row r="22">
      <c r="A22" s="14">
        <f>IFERROR(NORMALIZED!A22,"")</f>
        <v/>
      </c>
      <c r="B22" s="14">
        <f>IF(A22="","",NORMALIZED!B22)</f>
        <v/>
      </c>
      <c r="C22" s="14">
        <f>IF(A22="","",NORMALIZED!F22)</f>
        <v/>
      </c>
      <c r="D22" s="14">
        <f>IF(A22="","",NORMALIZED!E22)</f>
        <v/>
      </c>
      <c r="E22" s="14">
        <f>IF(A22="","",NORMALIZED!H22)</f>
        <v/>
      </c>
      <c r="F22" s="15">
        <f>IF(A22="","",NORMALIZED!I22)</f>
        <v/>
      </c>
      <c r="G22" s="11">
        <f>IF(A22="","",--(COUNTIFS(INBOX!$C$4:$C$200,A22,INBOX!$K$4:$K$200,1)&gt;0))</f>
        <v/>
      </c>
      <c r="H22" s="11">
        <f>IF(A22="","",--(COUNTIFS(INBOX!$C$4:$C$200,A22,INBOX!$L$4:$L$200,1)&gt;0))</f>
        <v/>
      </c>
      <c r="I22" s="11">
        <f>IF(A22="","",--(COUNTIFS(INBOX!$C$4:$C$200,A22,INBOX!$M$4:$M$200,1)&gt;0))</f>
        <v/>
      </c>
      <c r="J22" s="11">
        <f>IF(A22="","",--(COUNTIFS(INBOX!$C$4:$C$200,A22,INBOX!$N$4:$N$200,1)&gt;0))</f>
        <v/>
      </c>
      <c r="K22" s="11">
        <f>IF(A22="","",--(AND(TODAY()&gt;E22,F22&lt;1)))</f>
        <v/>
      </c>
      <c r="L22" s="11">
        <f>IF(A22="","",--(NORMALIZED!K22&lt;0.6))</f>
        <v/>
      </c>
      <c r="M22" s="16">
        <f>IF(A22="","",(25*G22)+(20*H22)+(15*I22)+(15*J22)+(15*K22)+(10*L22))</f>
        <v/>
      </c>
      <c r="N22" s="11">
        <f>IF(A22="","",IF(M22&gt;=65,"RED",IF(M22&gt;=35,"AMBER","GREEN")))</f>
        <v/>
      </c>
      <c r="O22" s="11">
        <f>IF(A22="","",""&amp;NORMALIZED!R22)</f>
        <v/>
      </c>
    </row>
    <row r="23">
      <c r="A23" s="14">
        <f>IFERROR(NORMALIZED!A23,"")</f>
        <v/>
      </c>
      <c r="B23" s="14">
        <f>IF(A23="","",NORMALIZED!B23)</f>
        <v/>
      </c>
      <c r="C23" s="14">
        <f>IF(A23="","",NORMALIZED!F23)</f>
        <v/>
      </c>
      <c r="D23" s="14">
        <f>IF(A23="","",NORMALIZED!E23)</f>
        <v/>
      </c>
      <c r="E23" s="14">
        <f>IF(A23="","",NORMALIZED!H23)</f>
        <v/>
      </c>
      <c r="F23" s="15">
        <f>IF(A23="","",NORMALIZED!I23)</f>
        <v/>
      </c>
      <c r="G23" s="11">
        <f>IF(A23="","",--(COUNTIFS(INBOX!$C$4:$C$200,A23,INBOX!$K$4:$K$200,1)&gt;0))</f>
        <v/>
      </c>
      <c r="H23" s="11">
        <f>IF(A23="","",--(COUNTIFS(INBOX!$C$4:$C$200,A23,INBOX!$L$4:$L$200,1)&gt;0))</f>
        <v/>
      </c>
      <c r="I23" s="11">
        <f>IF(A23="","",--(COUNTIFS(INBOX!$C$4:$C$200,A23,INBOX!$M$4:$M$200,1)&gt;0))</f>
        <v/>
      </c>
      <c r="J23" s="11">
        <f>IF(A23="","",--(COUNTIFS(INBOX!$C$4:$C$200,A23,INBOX!$N$4:$N$200,1)&gt;0))</f>
        <v/>
      </c>
      <c r="K23" s="11">
        <f>IF(A23="","",--(AND(TODAY()&gt;E23,F23&lt;1)))</f>
        <v/>
      </c>
      <c r="L23" s="11">
        <f>IF(A23="","",--(NORMALIZED!K23&lt;0.6))</f>
        <v/>
      </c>
      <c r="M23" s="16">
        <f>IF(A23="","",(25*G23)+(20*H23)+(15*I23)+(15*J23)+(15*K23)+(10*L23))</f>
        <v/>
      </c>
      <c r="N23" s="11">
        <f>IF(A23="","",IF(M23&gt;=65,"RED",IF(M23&gt;=35,"AMBER","GREEN")))</f>
        <v/>
      </c>
      <c r="O23" s="11">
        <f>IF(A23="","",""&amp;NORMALIZED!R23)</f>
        <v/>
      </c>
    </row>
    <row r="24">
      <c r="A24" s="14">
        <f>IFERROR(NORMALIZED!A24,"")</f>
        <v/>
      </c>
      <c r="B24" s="14">
        <f>IF(A24="","",NORMALIZED!B24)</f>
        <v/>
      </c>
      <c r="C24" s="14">
        <f>IF(A24="","",NORMALIZED!F24)</f>
        <v/>
      </c>
      <c r="D24" s="14">
        <f>IF(A24="","",NORMALIZED!E24)</f>
        <v/>
      </c>
      <c r="E24" s="14">
        <f>IF(A24="","",NORMALIZED!H24)</f>
        <v/>
      </c>
      <c r="F24" s="15">
        <f>IF(A24="","",NORMALIZED!I24)</f>
        <v/>
      </c>
      <c r="G24" s="11">
        <f>IF(A24="","",--(COUNTIFS(INBOX!$C$4:$C$200,A24,INBOX!$K$4:$K$200,1)&gt;0))</f>
        <v/>
      </c>
      <c r="H24" s="11">
        <f>IF(A24="","",--(COUNTIFS(INBOX!$C$4:$C$200,A24,INBOX!$L$4:$L$200,1)&gt;0))</f>
        <v/>
      </c>
      <c r="I24" s="11">
        <f>IF(A24="","",--(COUNTIFS(INBOX!$C$4:$C$200,A24,INBOX!$M$4:$M$200,1)&gt;0))</f>
        <v/>
      </c>
      <c r="J24" s="11">
        <f>IF(A24="","",--(COUNTIFS(INBOX!$C$4:$C$200,A24,INBOX!$N$4:$N$200,1)&gt;0))</f>
        <v/>
      </c>
      <c r="K24" s="11">
        <f>IF(A24="","",--(AND(TODAY()&gt;E24,F24&lt;1)))</f>
        <v/>
      </c>
      <c r="L24" s="11">
        <f>IF(A24="","",--(NORMALIZED!K24&lt;0.6))</f>
        <v/>
      </c>
      <c r="M24" s="16">
        <f>IF(A24="","",(25*G24)+(20*H24)+(15*I24)+(15*J24)+(15*K24)+(10*L24))</f>
        <v/>
      </c>
      <c r="N24" s="11">
        <f>IF(A24="","",IF(M24&gt;=65,"RED",IF(M24&gt;=35,"AMBER","GREEN")))</f>
        <v/>
      </c>
      <c r="O24" s="11">
        <f>IF(A24="","",""&amp;NORMALIZED!R24)</f>
        <v/>
      </c>
    </row>
    <row r="25">
      <c r="A25" s="14">
        <f>IFERROR(NORMALIZED!A25,"")</f>
        <v/>
      </c>
      <c r="B25" s="14">
        <f>IF(A25="","",NORMALIZED!B25)</f>
        <v/>
      </c>
      <c r="C25" s="14">
        <f>IF(A25="","",NORMALIZED!F25)</f>
        <v/>
      </c>
      <c r="D25" s="14">
        <f>IF(A25="","",NORMALIZED!E25)</f>
        <v/>
      </c>
      <c r="E25" s="14">
        <f>IF(A25="","",NORMALIZED!H25)</f>
        <v/>
      </c>
      <c r="F25" s="15">
        <f>IF(A25="","",NORMALIZED!I25)</f>
        <v/>
      </c>
      <c r="G25" s="11">
        <f>IF(A25="","",--(COUNTIFS(INBOX!$C$4:$C$200,A25,INBOX!$K$4:$K$200,1)&gt;0))</f>
        <v/>
      </c>
      <c r="H25" s="11">
        <f>IF(A25="","",--(COUNTIFS(INBOX!$C$4:$C$200,A25,INBOX!$L$4:$L$200,1)&gt;0))</f>
        <v/>
      </c>
      <c r="I25" s="11">
        <f>IF(A25="","",--(COUNTIFS(INBOX!$C$4:$C$200,A25,INBOX!$M$4:$M$200,1)&gt;0))</f>
        <v/>
      </c>
      <c r="J25" s="11">
        <f>IF(A25="","",--(COUNTIFS(INBOX!$C$4:$C$200,A25,INBOX!$N$4:$N$200,1)&gt;0))</f>
        <v/>
      </c>
      <c r="K25" s="11">
        <f>IF(A25="","",--(AND(TODAY()&gt;E25,F25&lt;1)))</f>
        <v/>
      </c>
      <c r="L25" s="11">
        <f>IF(A25="","",--(NORMALIZED!K25&lt;0.6))</f>
        <v/>
      </c>
      <c r="M25" s="16">
        <f>IF(A25="","",(25*G25)+(20*H25)+(15*I25)+(15*J25)+(15*K25)+(10*L25))</f>
        <v/>
      </c>
      <c r="N25" s="11">
        <f>IF(A25="","",IF(M25&gt;=65,"RED",IF(M25&gt;=35,"AMBER","GREEN")))</f>
        <v/>
      </c>
      <c r="O25" s="11">
        <f>IF(A25="","",""&amp;NORMALIZED!R25)</f>
        <v/>
      </c>
    </row>
    <row r="26">
      <c r="A26" s="14">
        <f>IFERROR(NORMALIZED!A26,"")</f>
        <v/>
      </c>
      <c r="B26" s="14">
        <f>IF(A26="","",NORMALIZED!B26)</f>
        <v/>
      </c>
      <c r="C26" s="14">
        <f>IF(A26="","",NORMALIZED!F26)</f>
        <v/>
      </c>
      <c r="D26" s="14">
        <f>IF(A26="","",NORMALIZED!E26)</f>
        <v/>
      </c>
      <c r="E26" s="14">
        <f>IF(A26="","",NORMALIZED!H26)</f>
        <v/>
      </c>
      <c r="F26" s="15">
        <f>IF(A26="","",NORMALIZED!I26)</f>
        <v/>
      </c>
      <c r="G26" s="11">
        <f>IF(A26="","",--(COUNTIFS(INBOX!$C$4:$C$200,A26,INBOX!$K$4:$K$200,1)&gt;0))</f>
        <v/>
      </c>
      <c r="H26" s="11">
        <f>IF(A26="","",--(COUNTIFS(INBOX!$C$4:$C$200,A26,INBOX!$L$4:$L$200,1)&gt;0))</f>
        <v/>
      </c>
      <c r="I26" s="11">
        <f>IF(A26="","",--(COUNTIFS(INBOX!$C$4:$C$200,A26,INBOX!$M$4:$M$200,1)&gt;0))</f>
        <v/>
      </c>
      <c r="J26" s="11">
        <f>IF(A26="","",--(COUNTIFS(INBOX!$C$4:$C$200,A26,INBOX!$N$4:$N$200,1)&gt;0))</f>
        <v/>
      </c>
      <c r="K26" s="11">
        <f>IF(A26="","",--(AND(TODAY()&gt;E26,F26&lt;1)))</f>
        <v/>
      </c>
      <c r="L26" s="11">
        <f>IF(A26="","",--(NORMALIZED!K26&lt;0.6))</f>
        <v/>
      </c>
      <c r="M26" s="16">
        <f>IF(A26="","",(25*G26)+(20*H26)+(15*I26)+(15*J26)+(15*K26)+(10*L26))</f>
        <v/>
      </c>
      <c r="N26" s="11">
        <f>IF(A26="","",IF(M26&gt;=65,"RED",IF(M26&gt;=35,"AMBER","GREEN")))</f>
        <v/>
      </c>
      <c r="O26" s="11">
        <f>IF(A26="","",""&amp;NORMALIZED!R26)</f>
        <v/>
      </c>
    </row>
    <row r="27">
      <c r="A27" s="14">
        <f>IFERROR(NORMALIZED!A27,"")</f>
        <v/>
      </c>
      <c r="B27" s="14">
        <f>IF(A27="","",NORMALIZED!B27)</f>
        <v/>
      </c>
      <c r="C27" s="14">
        <f>IF(A27="","",NORMALIZED!F27)</f>
        <v/>
      </c>
      <c r="D27" s="14">
        <f>IF(A27="","",NORMALIZED!E27)</f>
        <v/>
      </c>
      <c r="E27" s="14">
        <f>IF(A27="","",NORMALIZED!H27)</f>
        <v/>
      </c>
      <c r="F27" s="15">
        <f>IF(A27="","",NORMALIZED!I27)</f>
        <v/>
      </c>
      <c r="G27" s="11">
        <f>IF(A27="","",--(COUNTIFS(INBOX!$C$4:$C$200,A27,INBOX!$K$4:$K$200,1)&gt;0))</f>
        <v/>
      </c>
      <c r="H27" s="11">
        <f>IF(A27="","",--(COUNTIFS(INBOX!$C$4:$C$200,A27,INBOX!$L$4:$L$200,1)&gt;0))</f>
        <v/>
      </c>
      <c r="I27" s="11">
        <f>IF(A27="","",--(COUNTIFS(INBOX!$C$4:$C$200,A27,INBOX!$M$4:$M$200,1)&gt;0))</f>
        <v/>
      </c>
      <c r="J27" s="11">
        <f>IF(A27="","",--(COUNTIFS(INBOX!$C$4:$C$200,A27,INBOX!$N$4:$N$200,1)&gt;0))</f>
        <v/>
      </c>
      <c r="K27" s="11">
        <f>IF(A27="","",--(AND(TODAY()&gt;E27,F27&lt;1)))</f>
        <v/>
      </c>
      <c r="L27" s="11">
        <f>IF(A27="","",--(NORMALIZED!K27&lt;0.6))</f>
        <v/>
      </c>
      <c r="M27" s="16">
        <f>IF(A27="","",(25*G27)+(20*H27)+(15*I27)+(15*J27)+(15*K27)+(10*L27))</f>
        <v/>
      </c>
      <c r="N27" s="11">
        <f>IF(A27="","",IF(M27&gt;=65,"RED",IF(M27&gt;=35,"AMBER","GREEN")))</f>
        <v/>
      </c>
      <c r="O27" s="11">
        <f>IF(A27="","",""&amp;NORMALIZED!R27)</f>
        <v/>
      </c>
    </row>
    <row r="28">
      <c r="A28" s="14">
        <f>IFERROR(NORMALIZED!A28,"")</f>
        <v/>
      </c>
      <c r="B28" s="14">
        <f>IF(A28="","",NORMALIZED!B28)</f>
        <v/>
      </c>
      <c r="C28" s="14">
        <f>IF(A28="","",NORMALIZED!F28)</f>
        <v/>
      </c>
      <c r="D28" s="14">
        <f>IF(A28="","",NORMALIZED!E28)</f>
        <v/>
      </c>
      <c r="E28" s="14">
        <f>IF(A28="","",NORMALIZED!H28)</f>
        <v/>
      </c>
      <c r="F28" s="15">
        <f>IF(A28="","",NORMALIZED!I28)</f>
        <v/>
      </c>
      <c r="G28" s="11">
        <f>IF(A28="","",--(COUNTIFS(INBOX!$C$4:$C$200,A28,INBOX!$K$4:$K$200,1)&gt;0))</f>
        <v/>
      </c>
      <c r="H28" s="11">
        <f>IF(A28="","",--(COUNTIFS(INBOX!$C$4:$C$200,A28,INBOX!$L$4:$L$200,1)&gt;0))</f>
        <v/>
      </c>
      <c r="I28" s="11">
        <f>IF(A28="","",--(COUNTIFS(INBOX!$C$4:$C$200,A28,INBOX!$M$4:$M$200,1)&gt;0))</f>
        <v/>
      </c>
      <c r="J28" s="11">
        <f>IF(A28="","",--(COUNTIFS(INBOX!$C$4:$C$200,A28,INBOX!$N$4:$N$200,1)&gt;0))</f>
        <v/>
      </c>
      <c r="K28" s="11">
        <f>IF(A28="","",--(AND(TODAY()&gt;E28,F28&lt;1)))</f>
        <v/>
      </c>
      <c r="L28" s="11">
        <f>IF(A28="","",--(NORMALIZED!K28&lt;0.6))</f>
        <v/>
      </c>
      <c r="M28" s="16">
        <f>IF(A28="","",(25*G28)+(20*H28)+(15*I28)+(15*J28)+(15*K28)+(10*L28))</f>
        <v/>
      </c>
      <c r="N28" s="11">
        <f>IF(A28="","",IF(M28&gt;=65,"RED",IF(M28&gt;=35,"AMBER","GREEN")))</f>
        <v/>
      </c>
      <c r="O28" s="11">
        <f>IF(A28="","",""&amp;NORMALIZED!R28)</f>
        <v/>
      </c>
    </row>
    <row r="29">
      <c r="A29" s="14">
        <f>IFERROR(NORMALIZED!A29,"")</f>
        <v/>
      </c>
      <c r="B29" s="14">
        <f>IF(A29="","",NORMALIZED!B29)</f>
        <v/>
      </c>
      <c r="C29" s="14">
        <f>IF(A29="","",NORMALIZED!F29)</f>
        <v/>
      </c>
      <c r="D29" s="14">
        <f>IF(A29="","",NORMALIZED!E29)</f>
        <v/>
      </c>
      <c r="E29" s="14">
        <f>IF(A29="","",NORMALIZED!H29)</f>
        <v/>
      </c>
      <c r="F29" s="15">
        <f>IF(A29="","",NORMALIZED!I29)</f>
        <v/>
      </c>
      <c r="G29" s="11">
        <f>IF(A29="","",--(COUNTIFS(INBOX!$C$4:$C$200,A29,INBOX!$K$4:$K$200,1)&gt;0))</f>
        <v/>
      </c>
      <c r="H29" s="11">
        <f>IF(A29="","",--(COUNTIFS(INBOX!$C$4:$C$200,A29,INBOX!$L$4:$L$200,1)&gt;0))</f>
        <v/>
      </c>
      <c r="I29" s="11">
        <f>IF(A29="","",--(COUNTIFS(INBOX!$C$4:$C$200,A29,INBOX!$M$4:$M$200,1)&gt;0))</f>
        <v/>
      </c>
      <c r="J29" s="11">
        <f>IF(A29="","",--(COUNTIFS(INBOX!$C$4:$C$200,A29,INBOX!$N$4:$N$200,1)&gt;0))</f>
        <v/>
      </c>
      <c r="K29" s="11">
        <f>IF(A29="","",--(AND(TODAY()&gt;E29,F29&lt;1)))</f>
        <v/>
      </c>
      <c r="L29" s="11">
        <f>IF(A29="","",--(NORMALIZED!K29&lt;0.6))</f>
        <v/>
      </c>
      <c r="M29" s="16">
        <f>IF(A29="","",(25*G29)+(20*H29)+(15*I29)+(15*J29)+(15*K29)+(10*L29))</f>
        <v/>
      </c>
      <c r="N29" s="11">
        <f>IF(A29="","",IF(M29&gt;=65,"RED",IF(M29&gt;=35,"AMBER","GREEN")))</f>
        <v/>
      </c>
      <c r="O29" s="11">
        <f>IF(A29="","",""&amp;NORMALIZED!R29)</f>
        <v/>
      </c>
    </row>
    <row r="30">
      <c r="A30" s="14">
        <f>IFERROR(NORMALIZED!A30,"")</f>
        <v/>
      </c>
      <c r="B30" s="14">
        <f>IF(A30="","",NORMALIZED!B30)</f>
        <v/>
      </c>
      <c r="C30" s="14">
        <f>IF(A30="","",NORMALIZED!F30)</f>
        <v/>
      </c>
      <c r="D30" s="14">
        <f>IF(A30="","",NORMALIZED!E30)</f>
        <v/>
      </c>
      <c r="E30" s="14">
        <f>IF(A30="","",NORMALIZED!H30)</f>
        <v/>
      </c>
      <c r="F30" s="15">
        <f>IF(A30="","",NORMALIZED!I30)</f>
        <v/>
      </c>
      <c r="G30" s="11">
        <f>IF(A30="","",--(COUNTIFS(INBOX!$C$4:$C$200,A30,INBOX!$K$4:$K$200,1)&gt;0))</f>
        <v/>
      </c>
      <c r="H30" s="11">
        <f>IF(A30="","",--(COUNTIFS(INBOX!$C$4:$C$200,A30,INBOX!$L$4:$L$200,1)&gt;0))</f>
        <v/>
      </c>
      <c r="I30" s="11">
        <f>IF(A30="","",--(COUNTIFS(INBOX!$C$4:$C$200,A30,INBOX!$M$4:$M$200,1)&gt;0))</f>
        <v/>
      </c>
      <c r="J30" s="11">
        <f>IF(A30="","",--(COUNTIFS(INBOX!$C$4:$C$200,A30,INBOX!$N$4:$N$200,1)&gt;0))</f>
        <v/>
      </c>
      <c r="K30" s="11">
        <f>IF(A30="","",--(AND(TODAY()&gt;E30,F30&lt;1)))</f>
        <v/>
      </c>
      <c r="L30" s="11">
        <f>IF(A30="","",--(NORMALIZED!K30&lt;0.6))</f>
        <v/>
      </c>
      <c r="M30" s="16">
        <f>IF(A30="","",(25*G30)+(20*H30)+(15*I30)+(15*J30)+(15*K30)+(10*L30))</f>
        <v/>
      </c>
      <c r="N30" s="11">
        <f>IF(A30="","",IF(M30&gt;=65,"RED",IF(M30&gt;=35,"AMBER","GREEN")))</f>
        <v/>
      </c>
      <c r="O30" s="11">
        <f>IF(A30="","",""&amp;NORMALIZED!R30)</f>
        <v/>
      </c>
    </row>
    <row r="31">
      <c r="A31" s="14">
        <f>IFERROR(NORMALIZED!A31,"")</f>
        <v/>
      </c>
      <c r="B31" s="14">
        <f>IF(A31="","",NORMALIZED!B31)</f>
        <v/>
      </c>
      <c r="C31" s="14">
        <f>IF(A31="","",NORMALIZED!F31)</f>
        <v/>
      </c>
      <c r="D31" s="14">
        <f>IF(A31="","",NORMALIZED!E31)</f>
        <v/>
      </c>
      <c r="E31" s="14">
        <f>IF(A31="","",NORMALIZED!H31)</f>
        <v/>
      </c>
      <c r="F31" s="15">
        <f>IF(A31="","",NORMALIZED!I31)</f>
        <v/>
      </c>
      <c r="G31" s="11">
        <f>IF(A31="","",--(COUNTIFS(INBOX!$C$4:$C$200,A31,INBOX!$K$4:$K$200,1)&gt;0))</f>
        <v/>
      </c>
      <c r="H31" s="11">
        <f>IF(A31="","",--(COUNTIFS(INBOX!$C$4:$C$200,A31,INBOX!$L$4:$L$200,1)&gt;0))</f>
        <v/>
      </c>
      <c r="I31" s="11">
        <f>IF(A31="","",--(COUNTIFS(INBOX!$C$4:$C$200,A31,INBOX!$M$4:$M$200,1)&gt;0))</f>
        <v/>
      </c>
      <c r="J31" s="11">
        <f>IF(A31="","",--(COUNTIFS(INBOX!$C$4:$C$200,A31,INBOX!$N$4:$N$200,1)&gt;0))</f>
        <v/>
      </c>
      <c r="K31" s="11">
        <f>IF(A31="","",--(AND(TODAY()&gt;E31,F31&lt;1)))</f>
        <v/>
      </c>
      <c r="L31" s="11">
        <f>IF(A31="","",--(NORMALIZED!K31&lt;0.6))</f>
        <v/>
      </c>
      <c r="M31" s="16">
        <f>IF(A31="","",(25*G31)+(20*H31)+(15*I31)+(15*J31)+(15*K31)+(10*L31))</f>
        <v/>
      </c>
      <c r="N31" s="11">
        <f>IF(A31="","",IF(M31&gt;=65,"RED",IF(M31&gt;=35,"AMBER","GREEN")))</f>
        <v/>
      </c>
      <c r="O31" s="11">
        <f>IF(A31="","",""&amp;NORMALIZED!R31)</f>
        <v/>
      </c>
    </row>
    <row r="32">
      <c r="A32" s="14">
        <f>IFERROR(NORMALIZED!A32,"")</f>
        <v/>
      </c>
      <c r="B32" s="14">
        <f>IF(A32="","",NORMALIZED!B32)</f>
        <v/>
      </c>
      <c r="C32" s="14">
        <f>IF(A32="","",NORMALIZED!F32)</f>
        <v/>
      </c>
      <c r="D32" s="14">
        <f>IF(A32="","",NORMALIZED!E32)</f>
        <v/>
      </c>
      <c r="E32" s="14">
        <f>IF(A32="","",NORMALIZED!H32)</f>
        <v/>
      </c>
      <c r="F32" s="15">
        <f>IF(A32="","",NORMALIZED!I32)</f>
        <v/>
      </c>
      <c r="G32" s="11">
        <f>IF(A32="","",--(COUNTIFS(INBOX!$C$4:$C$200,A32,INBOX!$K$4:$K$200,1)&gt;0))</f>
        <v/>
      </c>
      <c r="H32" s="11">
        <f>IF(A32="","",--(COUNTIFS(INBOX!$C$4:$C$200,A32,INBOX!$L$4:$L$200,1)&gt;0))</f>
        <v/>
      </c>
      <c r="I32" s="11">
        <f>IF(A32="","",--(COUNTIFS(INBOX!$C$4:$C$200,A32,INBOX!$M$4:$M$200,1)&gt;0))</f>
        <v/>
      </c>
      <c r="J32" s="11">
        <f>IF(A32="","",--(COUNTIFS(INBOX!$C$4:$C$200,A32,INBOX!$N$4:$N$200,1)&gt;0))</f>
        <v/>
      </c>
      <c r="K32" s="11">
        <f>IF(A32="","",--(AND(TODAY()&gt;E32,F32&lt;1)))</f>
        <v/>
      </c>
      <c r="L32" s="11">
        <f>IF(A32="","",--(NORMALIZED!K32&lt;0.6))</f>
        <v/>
      </c>
      <c r="M32" s="16">
        <f>IF(A32="","",(25*G32)+(20*H32)+(15*I32)+(15*J32)+(15*K32)+(10*L32))</f>
        <v/>
      </c>
      <c r="N32" s="11">
        <f>IF(A32="","",IF(M32&gt;=65,"RED",IF(M32&gt;=35,"AMBER","GREEN")))</f>
        <v/>
      </c>
      <c r="O32" s="11">
        <f>IF(A32="","",""&amp;NORMALIZED!R32)</f>
        <v/>
      </c>
    </row>
    <row r="33">
      <c r="A33" s="14">
        <f>IFERROR(NORMALIZED!A33,"")</f>
        <v/>
      </c>
      <c r="B33" s="14">
        <f>IF(A33="","",NORMALIZED!B33)</f>
        <v/>
      </c>
      <c r="C33" s="14">
        <f>IF(A33="","",NORMALIZED!F33)</f>
        <v/>
      </c>
      <c r="D33" s="14">
        <f>IF(A33="","",NORMALIZED!E33)</f>
        <v/>
      </c>
      <c r="E33" s="14">
        <f>IF(A33="","",NORMALIZED!H33)</f>
        <v/>
      </c>
      <c r="F33" s="15">
        <f>IF(A33="","",NORMALIZED!I33)</f>
        <v/>
      </c>
      <c r="G33" s="11">
        <f>IF(A33="","",--(COUNTIFS(INBOX!$C$4:$C$200,A33,INBOX!$K$4:$K$200,1)&gt;0))</f>
        <v/>
      </c>
      <c r="H33" s="11">
        <f>IF(A33="","",--(COUNTIFS(INBOX!$C$4:$C$200,A33,INBOX!$L$4:$L$200,1)&gt;0))</f>
        <v/>
      </c>
      <c r="I33" s="11">
        <f>IF(A33="","",--(COUNTIFS(INBOX!$C$4:$C$200,A33,INBOX!$M$4:$M$200,1)&gt;0))</f>
        <v/>
      </c>
      <c r="J33" s="11">
        <f>IF(A33="","",--(COUNTIFS(INBOX!$C$4:$C$200,A33,INBOX!$N$4:$N$200,1)&gt;0))</f>
        <v/>
      </c>
      <c r="K33" s="11">
        <f>IF(A33="","",--(AND(TODAY()&gt;E33,F33&lt;1)))</f>
        <v/>
      </c>
      <c r="L33" s="11">
        <f>IF(A33="","",--(NORMALIZED!K33&lt;0.6))</f>
        <v/>
      </c>
      <c r="M33" s="16">
        <f>IF(A33="","",(25*G33)+(20*H33)+(15*I33)+(15*J33)+(15*K33)+(10*L33))</f>
        <v/>
      </c>
      <c r="N33" s="11">
        <f>IF(A33="","",IF(M33&gt;=65,"RED",IF(M33&gt;=35,"AMBER","GREEN")))</f>
        <v/>
      </c>
      <c r="O33" s="11">
        <f>IF(A33="","",""&amp;NORMALIZED!R33)</f>
        <v/>
      </c>
    </row>
    <row r="34">
      <c r="A34" s="14">
        <f>IFERROR(NORMALIZED!A34,"")</f>
        <v/>
      </c>
      <c r="B34" s="14">
        <f>IF(A34="","",NORMALIZED!B34)</f>
        <v/>
      </c>
      <c r="C34" s="14">
        <f>IF(A34="","",NORMALIZED!F34)</f>
        <v/>
      </c>
      <c r="D34" s="14">
        <f>IF(A34="","",NORMALIZED!E34)</f>
        <v/>
      </c>
      <c r="E34" s="14">
        <f>IF(A34="","",NORMALIZED!H34)</f>
        <v/>
      </c>
      <c r="F34" s="15">
        <f>IF(A34="","",NORMALIZED!I34)</f>
        <v/>
      </c>
      <c r="G34" s="11">
        <f>IF(A34="","",--(COUNTIFS(INBOX!$C$4:$C$200,A34,INBOX!$K$4:$K$200,1)&gt;0))</f>
        <v/>
      </c>
      <c r="H34" s="11">
        <f>IF(A34="","",--(COUNTIFS(INBOX!$C$4:$C$200,A34,INBOX!$L$4:$L$200,1)&gt;0))</f>
        <v/>
      </c>
      <c r="I34" s="11">
        <f>IF(A34="","",--(COUNTIFS(INBOX!$C$4:$C$200,A34,INBOX!$M$4:$M$200,1)&gt;0))</f>
        <v/>
      </c>
      <c r="J34" s="11">
        <f>IF(A34="","",--(COUNTIFS(INBOX!$C$4:$C$200,A34,INBOX!$N$4:$N$200,1)&gt;0))</f>
        <v/>
      </c>
      <c r="K34" s="11">
        <f>IF(A34="","",--(AND(TODAY()&gt;E34,F34&lt;1)))</f>
        <v/>
      </c>
      <c r="L34" s="11">
        <f>IF(A34="","",--(NORMALIZED!K34&lt;0.6))</f>
        <v/>
      </c>
      <c r="M34" s="16">
        <f>IF(A34="","",(25*G34)+(20*H34)+(15*I34)+(15*J34)+(15*K34)+(10*L34))</f>
        <v/>
      </c>
      <c r="N34" s="11">
        <f>IF(A34="","",IF(M34&gt;=65,"RED",IF(M34&gt;=35,"AMBER","GREEN")))</f>
        <v/>
      </c>
      <c r="O34" s="11">
        <f>IF(A34="","",""&amp;NORMALIZED!R34)</f>
        <v/>
      </c>
    </row>
    <row r="35">
      <c r="A35" s="14">
        <f>IFERROR(NORMALIZED!A35,"")</f>
        <v/>
      </c>
      <c r="B35" s="14">
        <f>IF(A35="","",NORMALIZED!B35)</f>
        <v/>
      </c>
      <c r="C35" s="14">
        <f>IF(A35="","",NORMALIZED!F35)</f>
        <v/>
      </c>
      <c r="D35" s="14">
        <f>IF(A35="","",NORMALIZED!E35)</f>
        <v/>
      </c>
      <c r="E35" s="14">
        <f>IF(A35="","",NORMALIZED!H35)</f>
        <v/>
      </c>
      <c r="F35" s="15">
        <f>IF(A35="","",NORMALIZED!I35)</f>
        <v/>
      </c>
      <c r="G35" s="11">
        <f>IF(A35="","",--(COUNTIFS(INBOX!$C$4:$C$200,A35,INBOX!$K$4:$K$200,1)&gt;0))</f>
        <v/>
      </c>
      <c r="H35" s="11">
        <f>IF(A35="","",--(COUNTIFS(INBOX!$C$4:$C$200,A35,INBOX!$L$4:$L$200,1)&gt;0))</f>
        <v/>
      </c>
      <c r="I35" s="11">
        <f>IF(A35="","",--(COUNTIFS(INBOX!$C$4:$C$200,A35,INBOX!$M$4:$M$200,1)&gt;0))</f>
        <v/>
      </c>
      <c r="J35" s="11">
        <f>IF(A35="","",--(COUNTIFS(INBOX!$C$4:$C$200,A35,INBOX!$N$4:$N$200,1)&gt;0))</f>
        <v/>
      </c>
      <c r="K35" s="11">
        <f>IF(A35="","",--(AND(TODAY()&gt;E35,F35&lt;1)))</f>
        <v/>
      </c>
      <c r="L35" s="11">
        <f>IF(A35="","",--(NORMALIZED!K35&lt;0.6))</f>
        <v/>
      </c>
      <c r="M35" s="16">
        <f>IF(A35="","",(25*G35)+(20*H35)+(15*I35)+(15*J35)+(15*K35)+(10*L35))</f>
        <v/>
      </c>
      <c r="N35" s="11">
        <f>IF(A35="","",IF(M35&gt;=65,"RED",IF(M35&gt;=35,"AMBER","GREEN")))</f>
        <v/>
      </c>
      <c r="O35" s="11">
        <f>IF(A35="","",""&amp;NORMALIZED!R35)</f>
        <v/>
      </c>
    </row>
    <row r="36">
      <c r="A36" s="14">
        <f>IFERROR(NORMALIZED!A36,"")</f>
        <v/>
      </c>
      <c r="B36" s="14">
        <f>IF(A36="","",NORMALIZED!B36)</f>
        <v/>
      </c>
      <c r="C36" s="14">
        <f>IF(A36="","",NORMALIZED!F36)</f>
        <v/>
      </c>
      <c r="D36" s="14">
        <f>IF(A36="","",NORMALIZED!E36)</f>
        <v/>
      </c>
      <c r="E36" s="14">
        <f>IF(A36="","",NORMALIZED!H36)</f>
        <v/>
      </c>
      <c r="F36" s="15">
        <f>IF(A36="","",NORMALIZED!I36)</f>
        <v/>
      </c>
      <c r="G36" s="11">
        <f>IF(A36="","",--(COUNTIFS(INBOX!$C$4:$C$200,A36,INBOX!$K$4:$K$200,1)&gt;0))</f>
        <v/>
      </c>
      <c r="H36" s="11">
        <f>IF(A36="","",--(COUNTIFS(INBOX!$C$4:$C$200,A36,INBOX!$L$4:$L$200,1)&gt;0))</f>
        <v/>
      </c>
      <c r="I36" s="11">
        <f>IF(A36="","",--(COUNTIFS(INBOX!$C$4:$C$200,A36,INBOX!$M$4:$M$200,1)&gt;0))</f>
        <v/>
      </c>
      <c r="J36" s="11">
        <f>IF(A36="","",--(COUNTIFS(INBOX!$C$4:$C$200,A36,INBOX!$N$4:$N$200,1)&gt;0))</f>
        <v/>
      </c>
      <c r="K36" s="11">
        <f>IF(A36="","",--(AND(TODAY()&gt;E36,F36&lt;1)))</f>
        <v/>
      </c>
      <c r="L36" s="11">
        <f>IF(A36="","",--(NORMALIZED!K36&lt;0.6))</f>
        <v/>
      </c>
      <c r="M36" s="16">
        <f>IF(A36="","",(25*G36)+(20*H36)+(15*I36)+(15*J36)+(15*K36)+(10*L36))</f>
        <v/>
      </c>
      <c r="N36" s="11">
        <f>IF(A36="","",IF(M36&gt;=65,"RED",IF(M36&gt;=35,"AMBER","GREEN")))</f>
        <v/>
      </c>
      <c r="O36" s="11">
        <f>IF(A36="","",""&amp;NORMALIZED!R36)</f>
        <v/>
      </c>
    </row>
    <row r="37">
      <c r="A37" s="14">
        <f>IFERROR(NORMALIZED!A37,"")</f>
        <v/>
      </c>
      <c r="B37" s="14">
        <f>IF(A37="","",NORMALIZED!B37)</f>
        <v/>
      </c>
      <c r="C37" s="14">
        <f>IF(A37="","",NORMALIZED!F37)</f>
        <v/>
      </c>
      <c r="D37" s="14">
        <f>IF(A37="","",NORMALIZED!E37)</f>
        <v/>
      </c>
      <c r="E37" s="14">
        <f>IF(A37="","",NORMALIZED!H37)</f>
        <v/>
      </c>
      <c r="F37" s="15">
        <f>IF(A37="","",NORMALIZED!I37)</f>
        <v/>
      </c>
      <c r="G37" s="11">
        <f>IF(A37="","",--(COUNTIFS(INBOX!$C$4:$C$200,A37,INBOX!$K$4:$K$200,1)&gt;0))</f>
        <v/>
      </c>
      <c r="H37" s="11">
        <f>IF(A37="","",--(COUNTIFS(INBOX!$C$4:$C$200,A37,INBOX!$L$4:$L$200,1)&gt;0))</f>
        <v/>
      </c>
      <c r="I37" s="11">
        <f>IF(A37="","",--(COUNTIFS(INBOX!$C$4:$C$200,A37,INBOX!$M$4:$M$200,1)&gt;0))</f>
        <v/>
      </c>
      <c r="J37" s="11">
        <f>IF(A37="","",--(COUNTIFS(INBOX!$C$4:$C$200,A37,INBOX!$N$4:$N$200,1)&gt;0))</f>
        <v/>
      </c>
      <c r="K37" s="11">
        <f>IF(A37="","",--(AND(TODAY()&gt;E37,F37&lt;1)))</f>
        <v/>
      </c>
      <c r="L37" s="11">
        <f>IF(A37="","",--(NORMALIZED!K37&lt;0.6))</f>
        <v/>
      </c>
      <c r="M37" s="16">
        <f>IF(A37="","",(25*G37)+(20*H37)+(15*I37)+(15*J37)+(15*K37)+(10*L37))</f>
        <v/>
      </c>
      <c r="N37" s="11">
        <f>IF(A37="","",IF(M37&gt;=65,"RED",IF(M37&gt;=35,"AMBER","GREEN")))</f>
        <v/>
      </c>
      <c r="O37" s="11">
        <f>IF(A37="","",""&amp;NORMALIZED!R37)</f>
        <v/>
      </c>
    </row>
    <row r="38">
      <c r="A38" s="14">
        <f>IFERROR(NORMALIZED!A38,"")</f>
        <v/>
      </c>
      <c r="B38" s="14">
        <f>IF(A38="","",NORMALIZED!B38)</f>
        <v/>
      </c>
      <c r="C38" s="14">
        <f>IF(A38="","",NORMALIZED!F38)</f>
        <v/>
      </c>
      <c r="D38" s="14">
        <f>IF(A38="","",NORMALIZED!E38)</f>
        <v/>
      </c>
      <c r="E38" s="14">
        <f>IF(A38="","",NORMALIZED!H38)</f>
        <v/>
      </c>
      <c r="F38" s="15">
        <f>IF(A38="","",NORMALIZED!I38)</f>
        <v/>
      </c>
      <c r="G38" s="11">
        <f>IF(A38="","",--(COUNTIFS(INBOX!$C$4:$C$200,A38,INBOX!$K$4:$K$200,1)&gt;0))</f>
        <v/>
      </c>
      <c r="H38" s="11">
        <f>IF(A38="","",--(COUNTIFS(INBOX!$C$4:$C$200,A38,INBOX!$L$4:$L$200,1)&gt;0))</f>
        <v/>
      </c>
      <c r="I38" s="11">
        <f>IF(A38="","",--(COUNTIFS(INBOX!$C$4:$C$200,A38,INBOX!$M$4:$M$200,1)&gt;0))</f>
        <v/>
      </c>
      <c r="J38" s="11">
        <f>IF(A38="","",--(COUNTIFS(INBOX!$C$4:$C$200,A38,INBOX!$N$4:$N$200,1)&gt;0))</f>
        <v/>
      </c>
      <c r="K38" s="11">
        <f>IF(A38="","",--(AND(TODAY()&gt;E38,F38&lt;1)))</f>
        <v/>
      </c>
      <c r="L38" s="11">
        <f>IF(A38="","",--(NORMALIZED!K38&lt;0.6))</f>
        <v/>
      </c>
      <c r="M38" s="16">
        <f>IF(A38="","",(25*G38)+(20*H38)+(15*I38)+(15*J38)+(15*K38)+(10*L38))</f>
        <v/>
      </c>
      <c r="N38" s="11">
        <f>IF(A38="","",IF(M38&gt;=65,"RED",IF(M38&gt;=35,"AMBER","GREEN")))</f>
        <v/>
      </c>
      <c r="O38" s="11">
        <f>IF(A38="","",""&amp;NORMALIZED!R38)</f>
        <v/>
      </c>
    </row>
    <row r="39">
      <c r="A39" s="14">
        <f>IFERROR(NORMALIZED!A39,"")</f>
        <v/>
      </c>
      <c r="B39" s="14">
        <f>IF(A39="","",NORMALIZED!B39)</f>
        <v/>
      </c>
      <c r="C39" s="14">
        <f>IF(A39="","",NORMALIZED!F39)</f>
        <v/>
      </c>
      <c r="D39" s="14">
        <f>IF(A39="","",NORMALIZED!E39)</f>
        <v/>
      </c>
      <c r="E39" s="14">
        <f>IF(A39="","",NORMALIZED!H39)</f>
        <v/>
      </c>
      <c r="F39" s="15">
        <f>IF(A39="","",NORMALIZED!I39)</f>
        <v/>
      </c>
      <c r="G39" s="11">
        <f>IF(A39="","",--(COUNTIFS(INBOX!$C$4:$C$200,A39,INBOX!$K$4:$K$200,1)&gt;0))</f>
        <v/>
      </c>
      <c r="H39" s="11">
        <f>IF(A39="","",--(COUNTIFS(INBOX!$C$4:$C$200,A39,INBOX!$L$4:$L$200,1)&gt;0))</f>
        <v/>
      </c>
      <c r="I39" s="11">
        <f>IF(A39="","",--(COUNTIFS(INBOX!$C$4:$C$200,A39,INBOX!$M$4:$M$200,1)&gt;0))</f>
        <v/>
      </c>
      <c r="J39" s="11">
        <f>IF(A39="","",--(COUNTIFS(INBOX!$C$4:$C$200,A39,INBOX!$N$4:$N$200,1)&gt;0))</f>
        <v/>
      </c>
      <c r="K39" s="11">
        <f>IF(A39="","",--(AND(TODAY()&gt;E39,F39&lt;1)))</f>
        <v/>
      </c>
      <c r="L39" s="11">
        <f>IF(A39="","",--(NORMALIZED!K39&lt;0.6))</f>
        <v/>
      </c>
      <c r="M39" s="16">
        <f>IF(A39="","",(25*G39)+(20*H39)+(15*I39)+(15*J39)+(15*K39)+(10*L39))</f>
        <v/>
      </c>
      <c r="N39" s="11">
        <f>IF(A39="","",IF(M39&gt;=65,"RED",IF(M39&gt;=35,"AMBER","GREEN")))</f>
        <v/>
      </c>
      <c r="O39" s="11">
        <f>IF(A39="","",""&amp;NORMALIZED!R39)</f>
        <v/>
      </c>
    </row>
    <row r="40">
      <c r="A40" s="14">
        <f>IFERROR(NORMALIZED!A40,"")</f>
        <v/>
      </c>
      <c r="B40" s="14">
        <f>IF(A40="","",NORMALIZED!B40)</f>
        <v/>
      </c>
      <c r="C40" s="14">
        <f>IF(A40="","",NORMALIZED!F40)</f>
        <v/>
      </c>
      <c r="D40" s="14">
        <f>IF(A40="","",NORMALIZED!E40)</f>
        <v/>
      </c>
      <c r="E40" s="14">
        <f>IF(A40="","",NORMALIZED!H40)</f>
        <v/>
      </c>
      <c r="F40" s="15">
        <f>IF(A40="","",NORMALIZED!I40)</f>
        <v/>
      </c>
      <c r="G40" s="11">
        <f>IF(A40="","",--(COUNTIFS(INBOX!$C$4:$C$200,A40,INBOX!$K$4:$K$200,1)&gt;0))</f>
        <v/>
      </c>
      <c r="H40" s="11">
        <f>IF(A40="","",--(COUNTIFS(INBOX!$C$4:$C$200,A40,INBOX!$L$4:$L$200,1)&gt;0))</f>
        <v/>
      </c>
      <c r="I40" s="11">
        <f>IF(A40="","",--(COUNTIFS(INBOX!$C$4:$C$200,A40,INBOX!$M$4:$M$200,1)&gt;0))</f>
        <v/>
      </c>
      <c r="J40" s="11">
        <f>IF(A40="","",--(COUNTIFS(INBOX!$C$4:$C$200,A40,INBOX!$N$4:$N$200,1)&gt;0))</f>
        <v/>
      </c>
      <c r="K40" s="11">
        <f>IF(A40="","",--(AND(TODAY()&gt;E40,F40&lt;1)))</f>
        <v/>
      </c>
      <c r="L40" s="11">
        <f>IF(A40="","",--(NORMALIZED!K40&lt;0.6))</f>
        <v/>
      </c>
      <c r="M40" s="16">
        <f>IF(A40="","",(25*G40)+(20*H40)+(15*I40)+(15*J40)+(15*K40)+(10*L40))</f>
        <v/>
      </c>
      <c r="N40" s="11">
        <f>IF(A40="","",IF(M40&gt;=65,"RED",IF(M40&gt;=35,"AMBER","GREEN")))</f>
        <v/>
      </c>
      <c r="O40" s="11">
        <f>IF(A40="","",""&amp;NORMALIZED!R40)</f>
        <v/>
      </c>
    </row>
    <row r="41">
      <c r="A41" s="14">
        <f>IFERROR(NORMALIZED!A41,"")</f>
        <v/>
      </c>
      <c r="B41" s="14">
        <f>IF(A41="","",NORMALIZED!B41)</f>
        <v/>
      </c>
      <c r="C41" s="14">
        <f>IF(A41="","",NORMALIZED!F41)</f>
        <v/>
      </c>
      <c r="D41" s="14">
        <f>IF(A41="","",NORMALIZED!E41)</f>
        <v/>
      </c>
      <c r="E41" s="14">
        <f>IF(A41="","",NORMALIZED!H41)</f>
        <v/>
      </c>
      <c r="F41" s="15">
        <f>IF(A41="","",NORMALIZED!I41)</f>
        <v/>
      </c>
      <c r="G41" s="11">
        <f>IF(A41="","",--(COUNTIFS(INBOX!$C$4:$C$200,A41,INBOX!$K$4:$K$200,1)&gt;0))</f>
        <v/>
      </c>
      <c r="H41" s="11">
        <f>IF(A41="","",--(COUNTIFS(INBOX!$C$4:$C$200,A41,INBOX!$L$4:$L$200,1)&gt;0))</f>
        <v/>
      </c>
      <c r="I41" s="11">
        <f>IF(A41="","",--(COUNTIFS(INBOX!$C$4:$C$200,A41,INBOX!$M$4:$M$200,1)&gt;0))</f>
        <v/>
      </c>
      <c r="J41" s="11">
        <f>IF(A41="","",--(COUNTIFS(INBOX!$C$4:$C$200,A41,INBOX!$N$4:$N$200,1)&gt;0))</f>
        <v/>
      </c>
      <c r="K41" s="11">
        <f>IF(A41="","",--(AND(TODAY()&gt;E41,F41&lt;1)))</f>
        <v/>
      </c>
      <c r="L41" s="11">
        <f>IF(A41="","",--(NORMALIZED!K41&lt;0.6))</f>
        <v/>
      </c>
      <c r="M41" s="16">
        <f>IF(A41="","",(25*G41)+(20*H41)+(15*I41)+(15*J41)+(15*K41)+(10*L41))</f>
        <v/>
      </c>
      <c r="N41" s="11">
        <f>IF(A41="","",IF(M41&gt;=65,"RED",IF(M41&gt;=35,"AMBER","GREEN")))</f>
        <v/>
      </c>
      <c r="O41" s="11">
        <f>IF(A41="","",""&amp;NORMALIZED!R41)</f>
        <v/>
      </c>
    </row>
    <row r="42">
      <c r="A42" s="14">
        <f>IFERROR(NORMALIZED!A42,"")</f>
        <v/>
      </c>
      <c r="B42" s="14">
        <f>IF(A42="","",NORMALIZED!B42)</f>
        <v/>
      </c>
      <c r="C42" s="14">
        <f>IF(A42="","",NORMALIZED!F42)</f>
        <v/>
      </c>
      <c r="D42" s="14">
        <f>IF(A42="","",NORMALIZED!E42)</f>
        <v/>
      </c>
      <c r="E42" s="14">
        <f>IF(A42="","",NORMALIZED!H42)</f>
        <v/>
      </c>
      <c r="F42" s="15">
        <f>IF(A42="","",NORMALIZED!I42)</f>
        <v/>
      </c>
      <c r="G42" s="11">
        <f>IF(A42="","",--(COUNTIFS(INBOX!$C$4:$C$200,A42,INBOX!$K$4:$K$200,1)&gt;0))</f>
        <v/>
      </c>
      <c r="H42" s="11">
        <f>IF(A42="","",--(COUNTIFS(INBOX!$C$4:$C$200,A42,INBOX!$L$4:$L$200,1)&gt;0))</f>
        <v/>
      </c>
      <c r="I42" s="11">
        <f>IF(A42="","",--(COUNTIFS(INBOX!$C$4:$C$200,A42,INBOX!$M$4:$M$200,1)&gt;0))</f>
        <v/>
      </c>
      <c r="J42" s="11">
        <f>IF(A42="","",--(COUNTIFS(INBOX!$C$4:$C$200,A42,INBOX!$N$4:$N$200,1)&gt;0))</f>
        <v/>
      </c>
      <c r="K42" s="11">
        <f>IF(A42="","",--(AND(TODAY()&gt;E42,F42&lt;1)))</f>
        <v/>
      </c>
      <c r="L42" s="11">
        <f>IF(A42="","",--(NORMALIZED!K42&lt;0.6))</f>
        <v/>
      </c>
      <c r="M42" s="16">
        <f>IF(A42="","",(25*G42)+(20*H42)+(15*I42)+(15*J42)+(15*K42)+(10*L42))</f>
        <v/>
      </c>
      <c r="N42" s="11">
        <f>IF(A42="","",IF(M42&gt;=65,"RED",IF(M42&gt;=35,"AMBER","GREEN")))</f>
        <v/>
      </c>
      <c r="O42" s="11">
        <f>IF(A42="","",""&amp;NORMALIZED!R42)</f>
        <v/>
      </c>
    </row>
    <row r="43">
      <c r="A43" s="14">
        <f>IFERROR(NORMALIZED!A43,"")</f>
        <v/>
      </c>
      <c r="B43" s="14">
        <f>IF(A43="","",NORMALIZED!B43)</f>
        <v/>
      </c>
      <c r="C43" s="14">
        <f>IF(A43="","",NORMALIZED!F43)</f>
        <v/>
      </c>
      <c r="D43" s="14">
        <f>IF(A43="","",NORMALIZED!E43)</f>
        <v/>
      </c>
      <c r="E43" s="14">
        <f>IF(A43="","",NORMALIZED!H43)</f>
        <v/>
      </c>
      <c r="F43" s="15">
        <f>IF(A43="","",NORMALIZED!I43)</f>
        <v/>
      </c>
      <c r="G43" s="11">
        <f>IF(A43="","",--(COUNTIFS(INBOX!$C$4:$C$200,A43,INBOX!$K$4:$K$200,1)&gt;0))</f>
        <v/>
      </c>
      <c r="H43" s="11">
        <f>IF(A43="","",--(COUNTIFS(INBOX!$C$4:$C$200,A43,INBOX!$L$4:$L$200,1)&gt;0))</f>
        <v/>
      </c>
      <c r="I43" s="11">
        <f>IF(A43="","",--(COUNTIFS(INBOX!$C$4:$C$200,A43,INBOX!$M$4:$M$200,1)&gt;0))</f>
        <v/>
      </c>
      <c r="J43" s="11">
        <f>IF(A43="","",--(COUNTIFS(INBOX!$C$4:$C$200,A43,INBOX!$N$4:$N$200,1)&gt;0))</f>
        <v/>
      </c>
      <c r="K43" s="11">
        <f>IF(A43="","",--(AND(TODAY()&gt;E43,F43&lt;1)))</f>
        <v/>
      </c>
      <c r="L43" s="11">
        <f>IF(A43="","",--(NORMALIZED!K43&lt;0.6))</f>
        <v/>
      </c>
      <c r="M43" s="16">
        <f>IF(A43="","",(25*G43)+(20*H43)+(15*I43)+(15*J43)+(15*K43)+(10*L43))</f>
        <v/>
      </c>
      <c r="N43" s="11">
        <f>IF(A43="","",IF(M43&gt;=65,"RED",IF(M43&gt;=35,"AMBER","GREEN")))</f>
        <v/>
      </c>
      <c r="O43" s="11">
        <f>IF(A43="","",""&amp;NORMALIZED!R43)</f>
        <v/>
      </c>
    </row>
    <row r="44">
      <c r="A44" s="14">
        <f>IFERROR(NORMALIZED!A44,"")</f>
        <v/>
      </c>
      <c r="B44" s="14">
        <f>IF(A44="","",NORMALIZED!B44)</f>
        <v/>
      </c>
      <c r="C44" s="14">
        <f>IF(A44="","",NORMALIZED!F44)</f>
        <v/>
      </c>
      <c r="D44" s="14">
        <f>IF(A44="","",NORMALIZED!E44)</f>
        <v/>
      </c>
      <c r="E44" s="14">
        <f>IF(A44="","",NORMALIZED!H44)</f>
        <v/>
      </c>
      <c r="F44" s="15">
        <f>IF(A44="","",NORMALIZED!I44)</f>
        <v/>
      </c>
      <c r="G44" s="11">
        <f>IF(A44="","",--(COUNTIFS(INBOX!$C$4:$C$200,A44,INBOX!$K$4:$K$200,1)&gt;0))</f>
        <v/>
      </c>
      <c r="H44" s="11">
        <f>IF(A44="","",--(COUNTIFS(INBOX!$C$4:$C$200,A44,INBOX!$L$4:$L$200,1)&gt;0))</f>
        <v/>
      </c>
      <c r="I44" s="11">
        <f>IF(A44="","",--(COUNTIFS(INBOX!$C$4:$C$200,A44,INBOX!$M$4:$M$200,1)&gt;0))</f>
        <v/>
      </c>
      <c r="J44" s="11">
        <f>IF(A44="","",--(COUNTIFS(INBOX!$C$4:$C$200,A44,INBOX!$N$4:$N$200,1)&gt;0))</f>
        <v/>
      </c>
      <c r="K44" s="11">
        <f>IF(A44="","",--(AND(TODAY()&gt;E44,F44&lt;1)))</f>
        <v/>
      </c>
      <c r="L44" s="11">
        <f>IF(A44="","",--(NORMALIZED!K44&lt;0.6))</f>
        <v/>
      </c>
      <c r="M44" s="16">
        <f>IF(A44="","",(25*G44)+(20*H44)+(15*I44)+(15*J44)+(15*K44)+(10*L44))</f>
        <v/>
      </c>
      <c r="N44" s="11">
        <f>IF(A44="","",IF(M44&gt;=65,"RED",IF(M44&gt;=35,"AMBER","GREEN")))</f>
        <v/>
      </c>
      <c r="O44" s="11">
        <f>IF(A44="","",""&amp;NORMALIZED!R44)</f>
        <v/>
      </c>
    </row>
    <row r="45">
      <c r="A45" s="14">
        <f>IFERROR(NORMALIZED!A45,"")</f>
        <v/>
      </c>
      <c r="B45" s="14">
        <f>IF(A45="","",NORMALIZED!B45)</f>
        <v/>
      </c>
      <c r="C45" s="14">
        <f>IF(A45="","",NORMALIZED!F45)</f>
        <v/>
      </c>
      <c r="D45" s="14">
        <f>IF(A45="","",NORMALIZED!E45)</f>
        <v/>
      </c>
      <c r="E45" s="14">
        <f>IF(A45="","",NORMALIZED!H45)</f>
        <v/>
      </c>
      <c r="F45" s="15">
        <f>IF(A45="","",NORMALIZED!I45)</f>
        <v/>
      </c>
      <c r="G45" s="11">
        <f>IF(A45="","",--(COUNTIFS(INBOX!$C$4:$C$200,A45,INBOX!$K$4:$K$200,1)&gt;0))</f>
        <v/>
      </c>
      <c r="H45" s="11">
        <f>IF(A45="","",--(COUNTIFS(INBOX!$C$4:$C$200,A45,INBOX!$L$4:$L$200,1)&gt;0))</f>
        <v/>
      </c>
      <c r="I45" s="11">
        <f>IF(A45="","",--(COUNTIFS(INBOX!$C$4:$C$200,A45,INBOX!$M$4:$M$200,1)&gt;0))</f>
        <v/>
      </c>
      <c r="J45" s="11">
        <f>IF(A45="","",--(COUNTIFS(INBOX!$C$4:$C$200,A45,INBOX!$N$4:$N$200,1)&gt;0))</f>
        <v/>
      </c>
      <c r="K45" s="11">
        <f>IF(A45="","",--(AND(TODAY()&gt;E45,F45&lt;1)))</f>
        <v/>
      </c>
      <c r="L45" s="11">
        <f>IF(A45="","",--(NORMALIZED!K45&lt;0.6))</f>
        <v/>
      </c>
      <c r="M45" s="16">
        <f>IF(A45="","",(25*G45)+(20*H45)+(15*I45)+(15*J45)+(15*K45)+(10*L45))</f>
        <v/>
      </c>
      <c r="N45" s="11">
        <f>IF(A45="","",IF(M45&gt;=65,"RED",IF(M45&gt;=35,"AMBER","GREEN")))</f>
        <v/>
      </c>
      <c r="O45" s="11">
        <f>IF(A45="","",""&amp;NORMALIZED!R45)</f>
        <v/>
      </c>
    </row>
    <row r="46">
      <c r="A46" s="14">
        <f>IFERROR(NORMALIZED!A46,"")</f>
        <v/>
      </c>
      <c r="B46" s="14">
        <f>IF(A46="","",NORMALIZED!B46)</f>
        <v/>
      </c>
      <c r="C46" s="14">
        <f>IF(A46="","",NORMALIZED!F46)</f>
        <v/>
      </c>
      <c r="D46" s="14">
        <f>IF(A46="","",NORMALIZED!E46)</f>
        <v/>
      </c>
      <c r="E46" s="14">
        <f>IF(A46="","",NORMALIZED!H46)</f>
        <v/>
      </c>
      <c r="F46" s="15">
        <f>IF(A46="","",NORMALIZED!I46)</f>
        <v/>
      </c>
      <c r="G46" s="11">
        <f>IF(A46="","",--(COUNTIFS(INBOX!$C$4:$C$200,A46,INBOX!$K$4:$K$200,1)&gt;0))</f>
        <v/>
      </c>
      <c r="H46" s="11">
        <f>IF(A46="","",--(COUNTIFS(INBOX!$C$4:$C$200,A46,INBOX!$L$4:$L$200,1)&gt;0))</f>
        <v/>
      </c>
      <c r="I46" s="11">
        <f>IF(A46="","",--(COUNTIFS(INBOX!$C$4:$C$200,A46,INBOX!$M$4:$M$200,1)&gt;0))</f>
        <v/>
      </c>
      <c r="J46" s="11">
        <f>IF(A46="","",--(COUNTIFS(INBOX!$C$4:$C$200,A46,INBOX!$N$4:$N$200,1)&gt;0))</f>
        <v/>
      </c>
      <c r="K46" s="11">
        <f>IF(A46="","",--(AND(TODAY()&gt;E46,F46&lt;1)))</f>
        <v/>
      </c>
      <c r="L46" s="11">
        <f>IF(A46="","",--(NORMALIZED!K46&lt;0.6))</f>
        <v/>
      </c>
      <c r="M46" s="16">
        <f>IF(A46="","",(25*G46)+(20*H46)+(15*I46)+(15*J46)+(15*K46)+(10*L46))</f>
        <v/>
      </c>
      <c r="N46" s="11">
        <f>IF(A46="","",IF(M46&gt;=65,"RED",IF(M46&gt;=35,"AMBER","GREEN")))</f>
        <v/>
      </c>
      <c r="O46" s="11">
        <f>IF(A46="","",""&amp;NORMALIZED!R46)</f>
        <v/>
      </c>
    </row>
    <row r="47">
      <c r="A47" s="14">
        <f>IFERROR(NORMALIZED!A47,"")</f>
        <v/>
      </c>
      <c r="B47" s="14">
        <f>IF(A47="","",NORMALIZED!B47)</f>
        <v/>
      </c>
      <c r="C47" s="14">
        <f>IF(A47="","",NORMALIZED!F47)</f>
        <v/>
      </c>
      <c r="D47" s="14">
        <f>IF(A47="","",NORMALIZED!E47)</f>
        <v/>
      </c>
      <c r="E47" s="14">
        <f>IF(A47="","",NORMALIZED!H47)</f>
        <v/>
      </c>
      <c r="F47" s="15">
        <f>IF(A47="","",NORMALIZED!I47)</f>
        <v/>
      </c>
      <c r="G47" s="11">
        <f>IF(A47="","",--(COUNTIFS(INBOX!$C$4:$C$200,A47,INBOX!$K$4:$K$200,1)&gt;0))</f>
        <v/>
      </c>
      <c r="H47" s="11">
        <f>IF(A47="","",--(COUNTIFS(INBOX!$C$4:$C$200,A47,INBOX!$L$4:$L$200,1)&gt;0))</f>
        <v/>
      </c>
      <c r="I47" s="11">
        <f>IF(A47="","",--(COUNTIFS(INBOX!$C$4:$C$200,A47,INBOX!$M$4:$M$200,1)&gt;0))</f>
        <v/>
      </c>
      <c r="J47" s="11">
        <f>IF(A47="","",--(COUNTIFS(INBOX!$C$4:$C$200,A47,INBOX!$N$4:$N$200,1)&gt;0))</f>
        <v/>
      </c>
      <c r="K47" s="11">
        <f>IF(A47="","",--(AND(TODAY()&gt;E47,F47&lt;1)))</f>
        <v/>
      </c>
      <c r="L47" s="11">
        <f>IF(A47="","",--(NORMALIZED!K47&lt;0.6))</f>
        <v/>
      </c>
      <c r="M47" s="16">
        <f>IF(A47="","",(25*G47)+(20*H47)+(15*I47)+(15*J47)+(15*K47)+(10*L47))</f>
        <v/>
      </c>
      <c r="N47" s="11">
        <f>IF(A47="","",IF(M47&gt;=65,"RED",IF(M47&gt;=35,"AMBER","GREEN")))</f>
        <v/>
      </c>
      <c r="O47" s="11">
        <f>IF(A47="","",""&amp;NORMALIZED!R47)</f>
        <v/>
      </c>
    </row>
    <row r="48">
      <c r="A48" s="14">
        <f>IFERROR(NORMALIZED!A48,"")</f>
        <v/>
      </c>
      <c r="B48" s="14">
        <f>IF(A48="","",NORMALIZED!B48)</f>
        <v/>
      </c>
      <c r="C48" s="14">
        <f>IF(A48="","",NORMALIZED!F48)</f>
        <v/>
      </c>
      <c r="D48" s="14">
        <f>IF(A48="","",NORMALIZED!E48)</f>
        <v/>
      </c>
      <c r="E48" s="14">
        <f>IF(A48="","",NORMALIZED!H48)</f>
        <v/>
      </c>
      <c r="F48" s="15">
        <f>IF(A48="","",NORMALIZED!I48)</f>
        <v/>
      </c>
      <c r="G48" s="11">
        <f>IF(A48="","",--(COUNTIFS(INBOX!$C$4:$C$200,A48,INBOX!$K$4:$K$200,1)&gt;0))</f>
        <v/>
      </c>
      <c r="H48" s="11">
        <f>IF(A48="","",--(COUNTIFS(INBOX!$C$4:$C$200,A48,INBOX!$L$4:$L$200,1)&gt;0))</f>
        <v/>
      </c>
      <c r="I48" s="11">
        <f>IF(A48="","",--(COUNTIFS(INBOX!$C$4:$C$200,A48,INBOX!$M$4:$M$200,1)&gt;0))</f>
        <v/>
      </c>
      <c r="J48" s="11">
        <f>IF(A48="","",--(COUNTIFS(INBOX!$C$4:$C$200,A48,INBOX!$N$4:$N$200,1)&gt;0))</f>
        <v/>
      </c>
      <c r="K48" s="11">
        <f>IF(A48="","",--(AND(TODAY()&gt;E48,F48&lt;1)))</f>
        <v/>
      </c>
      <c r="L48" s="11">
        <f>IF(A48="","",--(NORMALIZED!K48&lt;0.6))</f>
        <v/>
      </c>
      <c r="M48" s="16">
        <f>IF(A48="","",(25*G48)+(20*H48)+(15*I48)+(15*J48)+(15*K48)+(10*L48))</f>
        <v/>
      </c>
      <c r="N48" s="11">
        <f>IF(A48="","",IF(M48&gt;=65,"RED",IF(M48&gt;=35,"AMBER","GREEN")))</f>
        <v/>
      </c>
      <c r="O48" s="11">
        <f>IF(A48="","",""&amp;NORMALIZED!R48)</f>
        <v/>
      </c>
    </row>
    <row r="49">
      <c r="A49" s="14">
        <f>IFERROR(NORMALIZED!A49,"")</f>
        <v/>
      </c>
      <c r="B49" s="14">
        <f>IF(A49="","",NORMALIZED!B49)</f>
        <v/>
      </c>
      <c r="C49" s="14">
        <f>IF(A49="","",NORMALIZED!F49)</f>
        <v/>
      </c>
      <c r="D49" s="14">
        <f>IF(A49="","",NORMALIZED!E49)</f>
        <v/>
      </c>
      <c r="E49" s="14">
        <f>IF(A49="","",NORMALIZED!H49)</f>
        <v/>
      </c>
      <c r="F49" s="15">
        <f>IF(A49="","",NORMALIZED!I49)</f>
        <v/>
      </c>
      <c r="G49" s="11">
        <f>IF(A49="","",--(COUNTIFS(INBOX!$C$4:$C$200,A49,INBOX!$K$4:$K$200,1)&gt;0))</f>
        <v/>
      </c>
      <c r="H49" s="11">
        <f>IF(A49="","",--(COUNTIFS(INBOX!$C$4:$C$200,A49,INBOX!$L$4:$L$200,1)&gt;0))</f>
        <v/>
      </c>
      <c r="I49" s="11">
        <f>IF(A49="","",--(COUNTIFS(INBOX!$C$4:$C$200,A49,INBOX!$M$4:$M$200,1)&gt;0))</f>
        <v/>
      </c>
      <c r="J49" s="11">
        <f>IF(A49="","",--(COUNTIFS(INBOX!$C$4:$C$200,A49,INBOX!$N$4:$N$200,1)&gt;0))</f>
        <v/>
      </c>
      <c r="K49" s="11">
        <f>IF(A49="","",--(AND(TODAY()&gt;E49,F49&lt;1)))</f>
        <v/>
      </c>
      <c r="L49" s="11">
        <f>IF(A49="","",--(NORMALIZED!K49&lt;0.6))</f>
        <v/>
      </c>
      <c r="M49" s="16">
        <f>IF(A49="","",(25*G49)+(20*H49)+(15*I49)+(15*J49)+(15*K49)+(10*L49))</f>
        <v/>
      </c>
      <c r="N49" s="11">
        <f>IF(A49="","",IF(M49&gt;=65,"RED",IF(M49&gt;=35,"AMBER","GREEN")))</f>
        <v/>
      </c>
      <c r="O49" s="11">
        <f>IF(A49="","",""&amp;NORMALIZED!R49)</f>
        <v/>
      </c>
    </row>
    <row r="50">
      <c r="A50" s="14">
        <f>IFERROR(NORMALIZED!A50,"")</f>
        <v/>
      </c>
      <c r="B50" s="14">
        <f>IF(A50="","",NORMALIZED!B50)</f>
        <v/>
      </c>
      <c r="C50" s="14">
        <f>IF(A50="","",NORMALIZED!F50)</f>
        <v/>
      </c>
      <c r="D50" s="14">
        <f>IF(A50="","",NORMALIZED!E50)</f>
        <v/>
      </c>
      <c r="E50" s="14">
        <f>IF(A50="","",NORMALIZED!H50)</f>
        <v/>
      </c>
      <c r="F50" s="15">
        <f>IF(A50="","",NORMALIZED!I50)</f>
        <v/>
      </c>
      <c r="G50" s="11">
        <f>IF(A50="","",--(COUNTIFS(INBOX!$C$4:$C$200,A50,INBOX!$K$4:$K$200,1)&gt;0))</f>
        <v/>
      </c>
      <c r="H50" s="11">
        <f>IF(A50="","",--(COUNTIFS(INBOX!$C$4:$C$200,A50,INBOX!$L$4:$L$200,1)&gt;0))</f>
        <v/>
      </c>
      <c r="I50" s="11">
        <f>IF(A50="","",--(COUNTIFS(INBOX!$C$4:$C$200,A50,INBOX!$M$4:$M$200,1)&gt;0))</f>
        <v/>
      </c>
      <c r="J50" s="11">
        <f>IF(A50="","",--(COUNTIFS(INBOX!$C$4:$C$200,A50,INBOX!$N$4:$N$200,1)&gt;0))</f>
        <v/>
      </c>
      <c r="K50" s="11">
        <f>IF(A50="","",--(AND(TODAY()&gt;E50,F50&lt;1)))</f>
        <v/>
      </c>
      <c r="L50" s="11">
        <f>IF(A50="","",--(NORMALIZED!K50&lt;0.6))</f>
        <v/>
      </c>
      <c r="M50" s="16">
        <f>IF(A50="","",(25*G50)+(20*H50)+(15*I50)+(15*J50)+(15*K50)+(10*L50))</f>
        <v/>
      </c>
      <c r="N50" s="11">
        <f>IF(A50="","",IF(M50&gt;=65,"RED",IF(M50&gt;=35,"AMBER","GREEN")))</f>
        <v/>
      </c>
      <c r="O50" s="11">
        <f>IF(A50="","",""&amp;NORMALIZED!R50)</f>
        <v/>
      </c>
    </row>
    <row r="51">
      <c r="A51" s="14">
        <f>IFERROR(NORMALIZED!A51,"")</f>
        <v/>
      </c>
      <c r="B51" s="14">
        <f>IF(A51="","",NORMALIZED!B51)</f>
        <v/>
      </c>
      <c r="C51" s="14">
        <f>IF(A51="","",NORMALIZED!F51)</f>
        <v/>
      </c>
      <c r="D51" s="14">
        <f>IF(A51="","",NORMALIZED!E51)</f>
        <v/>
      </c>
      <c r="E51" s="14">
        <f>IF(A51="","",NORMALIZED!H51)</f>
        <v/>
      </c>
      <c r="F51" s="15">
        <f>IF(A51="","",NORMALIZED!I51)</f>
        <v/>
      </c>
      <c r="G51" s="11">
        <f>IF(A51="","",--(COUNTIFS(INBOX!$C$4:$C$200,A51,INBOX!$K$4:$K$200,1)&gt;0))</f>
        <v/>
      </c>
      <c r="H51" s="11">
        <f>IF(A51="","",--(COUNTIFS(INBOX!$C$4:$C$200,A51,INBOX!$L$4:$L$200,1)&gt;0))</f>
        <v/>
      </c>
      <c r="I51" s="11">
        <f>IF(A51="","",--(COUNTIFS(INBOX!$C$4:$C$200,A51,INBOX!$M$4:$M$200,1)&gt;0))</f>
        <v/>
      </c>
      <c r="J51" s="11">
        <f>IF(A51="","",--(COUNTIFS(INBOX!$C$4:$C$200,A51,INBOX!$N$4:$N$200,1)&gt;0))</f>
        <v/>
      </c>
      <c r="K51" s="11">
        <f>IF(A51="","",--(AND(TODAY()&gt;E51,F51&lt;1)))</f>
        <v/>
      </c>
      <c r="L51" s="11">
        <f>IF(A51="","",--(NORMALIZED!K51&lt;0.6))</f>
        <v/>
      </c>
      <c r="M51" s="16">
        <f>IF(A51="","",(25*G51)+(20*H51)+(15*I51)+(15*J51)+(15*K51)+(10*L51))</f>
        <v/>
      </c>
      <c r="N51" s="11">
        <f>IF(A51="","",IF(M51&gt;=65,"RED",IF(M51&gt;=35,"AMBER","GREEN")))</f>
        <v/>
      </c>
      <c r="O51" s="11">
        <f>IF(A51="","",""&amp;NORMALIZED!R51)</f>
        <v/>
      </c>
    </row>
    <row r="52">
      <c r="A52" s="14">
        <f>IFERROR(NORMALIZED!A52,"")</f>
        <v/>
      </c>
      <c r="B52" s="14">
        <f>IF(A52="","",NORMALIZED!B52)</f>
        <v/>
      </c>
      <c r="C52" s="14">
        <f>IF(A52="","",NORMALIZED!F52)</f>
        <v/>
      </c>
      <c r="D52" s="14">
        <f>IF(A52="","",NORMALIZED!E52)</f>
        <v/>
      </c>
      <c r="E52" s="14">
        <f>IF(A52="","",NORMALIZED!H52)</f>
        <v/>
      </c>
      <c r="F52" s="15">
        <f>IF(A52="","",NORMALIZED!I52)</f>
        <v/>
      </c>
      <c r="G52" s="11">
        <f>IF(A52="","",--(COUNTIFS(INBOX!$C$4:$C$200,A52,INBOX!$K$4:$K$200,1)&gt;0))</f>
        <v/>
      </c>
      <c r="H52" s="11">
        <f>IF(A52="","",--(COUNTIFS(INBOX!$C$4:$C$200,A52,INBOX!$L$4:$L$200,1)&gt;0))</f>
        <v/>
      </c>
      <c r="I52" s="11">
        <f>IF(A52="","",--(COUNTIFS(INBOX!$C$4:$C$200,A52,INBOX!$M$4:$M$200,1)&gt;0))</f>
        <v/>
      </c>
      <c r="J52" s="11">
        <f>IF(A52="","",--(COUNTIFS(INBOX!$C$4:$C$200,A52,INBOX!$N$4:$N$200,1)&gt;0))</f>
        <v/>
      </c>
      <c r="K52" s="11">
        <f>IF(A52="","",--(AND(TODAY()&gt;E52,F52&lt;1)))</f>
        <v/>
      </c>
      <c r="L52" s="11">
        <f>IF(A52="","",--(NORMALIZED!K52&lt;0.6))</f>
        <v/>
      </c>
      <c r="M52" s="16">
        <f>IF(A52="","",(25*G52)+(20*H52)+(15*I52)+(15*J52)+(15*K52)+(10*L52))</f>
        <v/>
      </c>
      <c r="N52" s="11">
        <f>IF(A52="","",IF(M52&gt;=65,"RED",IF(M52&gt;=35,"AMBER","GREEN")))</f>
        <v/>
      </c>
      <c r="O52" s="11">
        <f>IF(A52="","",""&amp;NORMALIZED!R52)</f>
        <v/>
      </c>
    </row>
    <row r="53">
      <c r="A53" s="14">
        <f>IFERROR(NORMALIZED!A53,"")</f>
        <v/>
      </c>
      <c r="B53" s="14">
        <f>IF(A53="","",NORMALIZED!B53)</f>
        <v/>
      </c>
      <c r="C53" s="14">
        <f>IF(A53="","",NORMALIZED!F53)</f>
        <v/>
      </c>
      <c r="D53" s="14">
        <f>IF(A53="","",NORMALIZED!E53)</f>
        <v/>
      </c>
      <c r="E53" s="14">
        <f>IF(A53="","",NORMALIZED!H53)</f>
        <v/>
      </c>
      <c r="F53" s="15">
        <f>IF(A53="","",NORMALIZED!I53)</f>
        <v/>
      </c>
      <c r="G53" s="11">
        <f>IF(A53="","",--(COUNTIFS(INBOX!$C$4:$C$200,A53,INBOX!$K$4:$K$200,1)&gt;0))</f>
        <v/>
      </c>
      <c r="H53" s="11">
        <f>IF(A53="","",--(COUNTIFS(INBOX!$C$4:$C$200,A53,INBOX!$L$4:$L$200,1)&gt;0))</f>
        <v/>
      </c>
      <c r="I53" s="11">
        <f>IF(A53="","",--(COUNTIFS(INBOX!$C$4:$C$200,A53,INBOX!$M$4:$M$200,1)&gt;0))</f>
        <v/>
      </c>
      <c r="J53" s="11">
        <f>IF(A53="","",--(COUNTIFS(INBOX!$C$4:$C$200,A53,INBOX!$N$4:$N$200,1)&gt;0))</f>
        <v/>
      </c>
      <c r="K53" s="11">
        <f>IF(A53="","",--(AND(TODAY()&gt;E53,F53&lt;1)))</f>
        <v/>
      </c>
      <c r="L53" s="11">
        <f>IF(A53="","",--(NORMALIZED!K53&lt;0.6))</f>
        <v/>
      </c>
      <c r="M53" s="16">
        <f>IF(A53="","",(25*G53)+(20*H53)+(15*I53)+(15*J53)+(15*K53)+(10*L53))</f>
        <v/>
      </c>
      <c r="N53" s="11">
        <f>IF(A53="","",IF(M53&gt;=65,"RED",IF(M53&gt;=35,"AMBER","GREEN")))</f>
        <v/>
      </c>
      <c r="O53" s="11">
        <f>IF(A53="","",""&amp;NORMALIZED!R53)</f>
        <v/>
      </c>
    </row>
    <row r="54">
      <c r="A54" s="14">
        <f>IFERROR(NORMALIZED!A54,"")</f>
        <v/>
      </c>
      <c r="B54" s="14">
        <f>IF(A54="","",NORMALIZED!B54)</f>
        <v/>
      </c>
      <c r="C54" s="14">
        <f>IF(A54="","",NORMALIZED!F54)</f>
        <v/>
      </c>
      <c r="D54" s="14">
        <f>IF(A54="","",NORMALIZED!E54)</f>
        <v/>
      </c>
      <c r="E54" s="14">
        <f>IF(A54="","",NORMALIZED!H54)</f>
        <v/>
      </c>
      <c r="F54" s="15">
        <f>IF(A54="","",NORMALIZED!I54)</f>
        <v/>
      </c>
      <c r="G54" s="11">
        <f>IF(A54="","",--(COUNTIFS(INBOX!$C$4:$C$200,A54,INBOX!$K$4:$K$200,1)&gt;0))</f>
        <v/>
      </c>
      <c r="H54" s="11">
        <f>IF(A54="","",--(COUNTIFS(INBOX!$C$4:$C$200,A54,INBOX!$L$4:$L$200,1)&gt;0))</f>
        <v/>
      </c>
      <c r="I54" s="11">
        <f>IF(A54="","",--(COUNTIFS(INBOX!$C$4:$C$200,A54,INBOX!$M$4:$M$200,1)&gt;0))</f>
        <v/>
      </c>
      <c r="J54" s="11">
        <f>IF(A54="","",--(COUNTIFS(INBOX!$C$4:$C$200,A54,INBOX!$N$4:$N$200,1)&gt;0))</f>
        <v/>
      </c>
      <c r="K54" s="11">
        <f>IF(A54="","",--(AND(TODAY()&gt;E54,F54&lt;1)))</f>
        <v/>
      </c>
      <c r="L54" s="11">
        <f>IF(A54="","",--(NORMALIZED!K54&lt;0.6))</f>
        <v/>
      </c>
      <c r="M54" s="16">
        <f>IF(A54="","",(25*G54)+(20*H54)+(15*I54)+(15*J54)+(15*K54)+(10*L54))</f>
        <v/>
      </c>
      <c r="N54" s="11">
        <f>IF(A54="","",IF(M54&gt;=65,"RED",IF(M54&gt;=35,"AMBER","GREEN")))</f>
        <v/>
      </c>
      <c r="O54" s="11">
        <f>IF(A54="","",""&amp;NORMALIZED!R54)</f>
        <v/>
      </c>
    </row>
    <row r="55">
      <c r="A55" s="14">
        <f>IFERROR(NORMALIZED!A55,"")</f>
        <v/>
      </c>
      <c r="B55" s="14">
        <f>IF(A55="","",NORMALIZED!B55)</f>
        <v/>
      </c>
      <c r="C55" s="14">
        <f>IF(A55="","",NORMALIZED!F55)</f>
        <v/>
      </c>
      <c r="D55" s="14">
        <f>IF(A55="","",NORMALIZED!E55)</f>
        <v/>
      </c>
      <c r="E55" s="14">
        <f>IF(A55="","",NORMALIZED!H55)</f>
        <v/>
      </c>
      <c r="F55" s="15">
        <f>IF(A55="","",NORMALIZED!I55)</f>
        <v/>
      </c>
      <c r="G55" s="11">
        <f>IF(A55="","",--(COUNTIFS(INBOX!$C$4:$C$200,A55,INBOX!$K$4:$K$200,1)&gt;0))</f>
        <v/>
      </c>
      <c r="H55" s="11">
        <f>IF(A55="","",--(COUNTIFS(INBOX!$C$4:$C$200,A55,INBOX!$L$4:$L$200,1)&gt;0))</f>
        <v/>
      </c>
      <c r="I55" s="11">
        <f>IF(A55="","",--(COUNTIFS(INBOX!$C$4:$C$200,A55,INBOX!$M$4:$M$200,1)&gt;0))</f>
        <v/>
      </c>
      <c r="J55" s="11">
        <f>IF(A55="","",--(COUNTIFS(INBOX!$C$4:$C$200,A55,INBOX!$N$4:$N$200,1)&gt;0))</f>
        <v/>
      </c>
      <c r="K55" s="11">
        <f>IF(A55="","",--(AND(TODAY()&gt;E55,F55&lt;1)))</f>
        <v/>
      </c>
      <c r="L55" s="11">
        <f>IF(A55="","",--(NORMALIZED!K55&lt;0.6))</f>
        <v/>
      </c>
      <c r="M55" s="16">
        <f>IF(A55="","",(25*G55)+(20*H55)+(15*I55)+(15*J55)+(15*K55)+(10*L55))</f>
        <v/>
      </c>
      <c r="N55" s="11">
        <f>IF(A55="","",IF(M55&gt;=65,"RED",IF(M55&gt;=35,"AMBER","GREEN")))</f>
        <v/>
      </c>
      <c r="O55" s="11">
        <f>IF(A55="","",""&amp;NORMALIZED!R55)</f>
        <v/>
      </c>
    </row>
    <row r="56">
      <c r="A56" s="14">
        <f>IFERROR(NORMALIZED!A56,"")</f>
        <v/>
      </c>
      <c r="B56" s="14">
        <f>IF(A56="","",NORMALIZED!B56)</f>
        <v/>
      </c>
      <c r="C56" s="14">
        <f>IF(A56="","",NORMALIZED!F56)</f>
        <v/>
      </c>
      <c r="D56" s="14">
        <f>IF(A56="","",NORMALIZED!E56)</f>
        <v/>
      </c>
      <c r="E56" s="14">
        <f>IF(A56="","",NORMALIZED!H56)</f>
        <v/>
      </c>
      <c r="F56" s="15">
        <f>IF(A56="","",NORMALIZED!I56)</f>
        <v/>
      </c>
      <c r="G56" s="11">
        <f>IF(A56="","",--(COUNTIFS(INBOX!$C$4:$C$200,A56,INBOX!$K$4:$K$200,1)&gt;0))</f>
        <v/>
      </c>
      <c r="H56" s="11">
        <f>IF(A56="","",--(COUNTIFS(INBOX!$C$4:$C$200,A56,INBOX!$L$4:$L$200,1)&gt;0))</f>
        <v/>
      </c>
      <c r="I56" s="11">
        <f>IF(A56="","",--(COUNTIFS(INBOX!$C$4:$C$200,A56,INBOX!$M$4:$M$200,1)&gt;0))</f>
        <v/>
      </c>
      <c r="J56" s="11">
        <f>IF(A56="","",--(COUNTIFS(INBOX!$C$4:$C$200,A56,INBOX!$N$4:$N$200,1)&gt;0))</f>
        <v/>
      </c>
      <c r="K56" s="11">
        <f>IF(A56="","",--(AND(TODAY()&gt;E56,F56&lt;1)))</f>
        <v/>
      </c>
      <c r="L56" s="11">
        <f>IF(A56="","",--(NORMALIZED!K56&lt;0.6))</f>
        <v/>
      </c>
      <c r="M56" s="16">
        <f>IF(A56="","",(25*G56)+(20*H56)+(15*I56)+(15*J56)+(15*K56)+(10*L56))</f>
        <v/>
      </c>
      <c r="N56" s="11">
        <f>IF(A56="","",IF(M56&gt;=65,"RED",IF(M56&gt;=35,"AMBER","GREEN")))</f>
        <v/>
      </c>
      <c r="O56" s="11">
        <f>IF(A56="","",""&amp;NORMALIZED!R56)</f>
        <v/>
      </c>
    </row>
    <row r="57">
      <c r="A57" s="14">
        <f>IFERROR(NORMALIZED!A57,"")</f>
        <v/>
      </c>
      <c r="B57" s="14">
        <f>IF(A57="","",NORMALIZED!B57)</f>
        <v/>
      </c>
      <c r="C57" s="14">
        <f>IF(A57="","",NORMALIZED!F57)</f>
        <v/>
      </c>
      <c r="D57" s="14">
        <f>IF(A57="","",NORMALIZED!E57)</f>
        <v/>
      </c>
      <c r="E57" s="14">
        <f>IF(A57="","",NORMALIZED!H57)</f>
        <v/>
      </c>
      <c r="F57" s="15">
        <f>IF(A57="","",NORMALIZED!I57)</f>
        <v/>
      </c>
      <c r="G57" s="11">
        <f>IF(A57="","",--(COUNTIFS(INBOX!$C$4:$C$200,A57,INBOX!$K$4:$K$200,1)&gt;0))</f>
        <v/>
      </c>
      <c r="H57" s="11">
        <f>IF(A57="","",--(COUNTIFS(INBOX!$C$4:$C$200,A57,INBOX!$L$4:$L$200,1)&gt;0))</f>
        <v/>
      </c>
      <c r="I57" s="11">
        <f>IF(A57="","",--(COUNTIFS(INBOX!$C$4:$C$200,A57,INBOX!$M$4:$M$200,1)&gt;0))</f>
        <v/>
      </c>
      <c r="J57" s="11">
        <f>IF(A57="","",--(COUNTIFS(INBOX!$C$4:$C$200,A57,INBOX!$N$4:$N$200,1)&gt;0))</f>
        <v/>
      </c>
      <c r="K57" s="11">
        <f>IF(A57="","",--(AND(TODAY()&gt;E57,F57&lt;1)))</f>
        <v/>
      </c>
      <c r="L57" s="11">
        <f>IF(A57="","",--(NORMALIZED!K57&lt;0.6))</f>
        <v/>
      </c>
      <c r="M57" s="16">
        <f>IF(A57="","",(25*G57)+(20*H57)+(15*I57)+(15*J57)+(15*K57)+(10*L57))</f>
        <v/>
      </c>
      <c r="N57" s="11">
        <f>IF(A57="","",IF(M57&gt;=65,"RED",IF(M57&gt;=35,"AMBER","GREEN")))</f>
        <v/>
      </c>
      <c r="O57" s="11">
        <f>IF(A57="","",""&amp;NORMALIZED!R57)</f>
        <v/>
      </c>
    </row>
    <row r="58">
      <c r="A58" s="14">
        <f>IFERROR(NORMALIZED!A58,"")</f>
        <v/>
      </c>
      <c r="B58" s="14">
        <f>IF(A58="","",NORMALIZED!B58)</f>
        <v/>
      </c>
      <c r="C58" s="14">
        <f>IF(A58="","",NORMALIZED!F58)</f>
        <v/>
      </c>
      <c r="D58" s="14">
        <f>IF(A58="","",NORMALIZED!E58)</f>
        <v/>
      </c>
      <c r="E58" s="14">
        <f>IF(A58="","",NORMALIZED!H58)</f>
        <v/>
      </c>
      <c r="F58" s="15">
        <f>IF(A58="","",NORMALIZED!I58)</f>
        <v/>
      </c>
      <c r="G58" s="11">
        <f>IF(A58="","",--(COUNTIFS(INBOX!$C$4:$C$200,A58,INBOX!$K$4:$K$200,1)&gt;0))</f>
        <v/>
      </c>
      <c r="H58" s="11">
        <f>IF(A58="","",--(COUNTIFS(INBOX!$C$4:$C$200,A58,INBOX!$L$4:$L$200,1)&gt;0))</f>
        <v/>
      </c>
      <c r="I58" s="11">
        <f>IF(A58="","",--(COUNTIFS(INBOX!$C$4:$C$200,A58,INBOX!$M$4:$M$200,1)&gt;0))</f>
        <v/>
      </c>
      <c r="J58" s="11">
        <f>IF(A58="","",--(COUNTIFS(INBOX!$C$4:$C$200,A58,INBOX!$N$4:$N$200,1)&gt;0))</f>
        <v/>
      </c>
      <c r="K58" s="11">
        <f>IF(A58="","",--(AND(TODAY()&gt;E58,F58&lt;1)))</f>
        <v/>
      </c>
      <c r="L58" s="11">
        <f>IF(A58="","",--(NORMALIZED!K58&lt;0.6))</f>
        <v/>
      </c>
      <c r="M58" s="16">
        <f>IF(A58="","",(25*G58)+(20*H58)+(15*I58)+(15*J58)+(15*K58)+(10*L58))</f>
        <v/>
      </c>
      <c r="N58" s="11">
        <f>IF(A58="","",IF(M58&gt;=65,"RED",IF(M58&gt;=35,"AMBER","GREEN")))</f>
        <v/>
      </c>
      <c r="O58" s="11">
        <f>IF(A58="","",""&amp;NORMALIZED!R58)</f>
        <v/>
      </c>
    </row>
    <row r="59">
      <c r="A59" s="14">
        <f>IFERROR(NORMALIZED!A59,"")</f>
        <v/>
      </c>
      <c r="B59" s="14">
        <f>IF(A59="","",NORMALIZED!B59)</f>
        <v/>
      </c>
      <c r="C59" s="14">
        <f>IF(A59="","",NORMALIZED!F59)</f>
        <v/>
      </c>
      <c r="D59" s="14">
        <f>IF(A59="","",NORMALIZED!E59)</f>
        <v/>
      </c>
      <c r="E59" s="14">
        <f>IF(A59="","",NORMALIZED!H59)</f>
        <v/>
      </c>
      <c r="F59" s="15">
        <f>IF(A59="","",NORMALIZED!I59)</f>
        <v/>
      </c>
      <c r="G59" s="11">
        <f>IF(A59="","",--(COUNTIFS(INBOX!$C$4:$C$200,A59,INBOX!$K$4:$K$200,1)&gt;0))</f>
        <v/>
      </c>
      <c r="H59" s="11">
        <f>IF(A59="","",--(COUNTIFS(INBOX!$C$4:$C$200,A59,INBOX!$L$4:$L$200,1)&gt;0))</f>
        <v/>
      </c>
      <c r="I59" s="11">
        <f>IF(A59="","",--(COUNTIFS(INBOX!$C$4:$C$200,A59,INBOX!$M$4:$M$200,1)&gt;0))</f>
        <v/>
      </c>
      <c r="J59" s="11">
        <f>IF(A59="","",--(COUNTIFS(INBOX!$C$4:$C$200,A59,INBOX!$N$4:$N$200,1)&gt;0))</f>
        <v/>
      </c>
      <c r="K59" s="11">
        <f>IF(A59="","",--(AND(TODAY()&gt;E59,F59&lt;1)))</f>
        <v/>
      </c>
      <c r="L59" s="11">
        <f>IF(A59="","",--(NORMALIZED!K59&lt;0.6))</f>
        <v/>
      </c>
      <c r="M59" s="16">
        <f>IF(A59="","",(25*G59)+(20*H59)+(15*I59)+(15*J59)+(15*K59)+(10*L59))</f>
        <v/>
      </c>
      <c r="N59" s="11">
        <f>IF(A59="","",IF(M59&gt;=65,"RED",IF(M59&gt;=35,"AMBER","GREEN")))</f>
        <v/>
      </c>
      <c r="O59" s="11">
        <f>IF(A59="","",""&amp;NORMALIZED!R59)</f>
        <v/>
      </c>
    </row>
    <row r="60">
      <c r="A60" s="14">
        <f>IFERROR(NORMALIZED!A60,"")</f>
        <v/>
      </c>
      <c r="B60" s="14">
        <f>IF(A60="","",NORMALIZED!B60)</f>
        <v/>
      </c>
      <c r="C60" s="14">
        <f>IF(A60="","",NORMALIZED!F60)</f>
        <v/>
      </c>
      <c r="D60" s="14">
        <f>IF(A60="","",NORMALIZED!E60)</f>
        <v/>
      </c>
      <c r="E60" s="14">
        <f>IF(A60="","",NORMALIZED!H60)</f>
        <v/>
      </c>
      <c r="F60" s="15">
        <f>IF(A60="","",NORMALIZED!I60)</f>
        <v/>
      </c>
      <c r="G60" s="11">
        <f>IF(A60="","",--(COUNTIFS(INBOX!$C$4:$C$200,A60,INBOX!$K$4:$K$200,1)&gt;0))</f>
        <v/>
      </c>
      <c r="H60" s="11">
        <f>IF(A60="","",--(COUNTIFS(INBOX!$C$4:$C$200,A60,INBOX!$L$4:$L$200,1)&gt;0))</f>
        <v/>
      </c>
      <c r="I60" s="11">
        <f>IF(A60="","",--(COUNTIFS(INBOX!$C$4:$C$200,A60,INBOX!$M$4:$M$200,1)&gt;0))</f>
        <v/>
      </c>
      <c r="J60" s="11">
        <f>IF(A60="","",--(COUNTIFS(INBOX!$C$4:$C$200,A60,INBOX!$N$4:$N$200,1)&gt;0))</f>
        <v/>
      </c>
      <c r="K60" s="11">
        <f>IF(A60="","",--(AND(TODAY()&gt;E60,F60&lt;1)))</f>
        <v/>
      </c>
      <c r="L60" s="11">
        <f>IF(A60="","",--(NORMALIZED!K60&lt;0.6))</f>
        <v/>
      </c>
      <c r="M60" s="16">
        <f>IF(A60="","",(25*G60)+(20*H60)+(15*I60)+(15*J60)+(15*K60)+(10*L60))</f>
        <v/>
      </c>
      <c r="N60" s="11">
        <f>IF(A60="","",IF(M60&gt;=65,"RED",IF(M60&gt;=35,"AMBER","GREEN")))</f>
        <v/>
      </c>
      <c r="O60" s="11">
        <f>IF(A60="","",""&amp;NORMALIZED!R60)</f>
        <v/>
      </c>
    </row>
    <row r="61">
      <c r="A61" s="14" t="n"/>
      <c r="B61" s="14" t="n"/>
      <c r="C61" s="14" t="n"/>
      <c r="D61" s="14" t="n"/>
      <c r="E61" s="14" t="n"/>
      <c r="F61" s="15" t="n"/>
      <c r="G61" s="11" t="n"/>
      <c r="H61" s="11" t="n"/>
      <c r="I61" s="11" t="n"/>
      <c r="J61" s="11" t="n"/>
      <c r="K61" s="11" t="n"/>
      <c r="L61" s="11" t="n"/>
      <c r="M61" s="16" t="n"/>
      <c r="N61" s="11" t="n"/>
      <c r="O61" s="11" t="n"/>
    </row>
    <row r="62">
      <c r="A62" s="14" t="n"/>
      <c r="B62" s="14" t="n"/>
      <c r="C62" s="14" t="n"/>
      <c r="D62" s="14" t="n"/>
      <c r="E62" s="14" t="n"/>
      <c r="F62" s="15" t="n"/>
      <c r="G62" s="11" t="n"/>
      <c r="H62" s="11" t="n"/>
      <c r="I62" s="11" t="n"/>
      <c r="J62" s="11" t="n"/>
      <c r="K62" s="11" t="n"/>
      <c r="L62" s="11" t="n"/>
      <c r="M62" s="16" t="n"/>
      <c r="N62" s="11" t="n"/>
      <c r="O62" s="11" t="n"/>
    </row>
    <row r="63">
      <c r="A63" s="14" t="n"/>
      <c r="B63" s="14" t="n"/>
      <c r="C63" s="14" t="n"/>
      <c r="D63" s="14" t="n"/>
      <c r="E63" s="14" t="n"/>
      <c r="F63" s="15" t="n"/>
      <c r="G63" s="11" t="n"/>
      <c r="H63" s="11" t="n"/>
      <c r="I63" s="11" t="n"/>
      <c r="J63" s="11" t="n"/>
      <c r="K63" s="11" t="n"/>
      <c r="L63" s="11" t="n"/>
      <c r="M63" s="16" t="n"/>
      <c r="N63" s="11" t="n"/>
      <c r="O63" s="11" t="n"/>
    </row>
    <row r="64">
      <c r="A64" s="14" t="n"/>
      <c r="B64" s="14" t="n"/>
      <c r="C64" s="14" t="n"/>
      <c r="D64" s="14" t="n"/>
      <c r="E64" s="14" t="n"/>
      <c r="F64" s="15" t="n"/>
      <c r="G64" s="11" t="n"/>
      <c r="H64" s="11" t="n"/>
      <c r="I64" s="11" t="n"/>
      <c r="J64" s="11" t="n"/>
      <c r="K64" s="11" t="n"/>
      <c r="L64" s="11" t="n"/>
      <c r="M64" s="16" t="n"/>
      <c r="N64" s="11" t="n"/>
      <c r="O64" s="11" t="n"/>
    </row>
    <row r="65">
      <c r="A65" s="14" t="n"/>
      <c r="B65" s="14" t="n"/>
      <c r="C65" s="14" t="n"/>
      <c r="D65" s="14" t="n"/>
      <c r="E65" s="14" t="n"/>
      <c r="F65" s="15" t="n"/>
      <c r="G65" s="11" t="n"/>
      <c r="H65" s="11" t="n"/>
      <c r="I65" s="11" t="n"/>
      <c r="J65" s="11" t="n"/>
      <c r="K65" s="11" t="n"/>
      <c r="L65" s="11" t="n"/>
      <c r="M65" s="16" t="n"/>
      <c r="N65" s="11" t="n"/>
      <c r="O65" s="11" t="n"/>
    </row>
    <row r="66">
      <c r="A66" s="14" t="n"/>
      <c r="B66" s="14" t="n"/>
      <c r="C66" s="14" t="n"/>
      <c r="D66" s="14" t="n"/>
      <c r="E66" s="14" t="n"/>
      <c r="F66" s="15" t="n"/>
      <c r="G66" s="11" t="n"/>
      <c r="H66" s="11" t="n"/>
      <c r="I66" s="11" t="n"/>
      <c r="J66" s="11" t="n"/>
      <c r="K66" s="11" t="n"/>
      <c r="L66" s="11" t="n"/>
      <c r="M66" s="16" t="n"/>
      <c r="N66" s="11" t="n"/>
      <c r="O66" s="11" t="n"/>
    </row>
    <row r="67">
      <c r="A67" s="14" t="n"/>
      <c r="B67" s="14" t="n"/>
      <c r="C67" s="14" t="n"/>
      <c r="D67" s="14" t="n"/>
      <c r="E67" s="14" t="n"/>
      <c r="F67" s="15" t="n"/>
      <c r="G67" s="11" t="n"/>
      <c r="H67" s="11" t="n"/>
      <c r="I67" s="11" t="n"/>
      <c r="J67" s="11" t="n"/>
      <c r="K67" s="11" t="n"/>
      <c r="L67" s="11" t="n"/>
      <c r="M67" s="16" t="n"/>
      <c r="N67" s="11" t="n"/>
      <c r="O67" s="11" t="n"/>
    </row>
    <row r="68">
      <c r="A68" s="14" t="n"/>
      <c r="B68" s="14" t="n"/>
      <c r="C68" s="14" t="n"/>
      <c r="D68" s="14" t="n"/>
      <c r="E68" s="14" t="n"/>
      <c r="F68" s="15" t="n"/>
      <c r="G68" s="11" t="n"/>
      <c r="H68" s="11" t="n"/>
      <c r="I68" s="11" t="n"/>
      <c r="J68" s="11" t="n"/>
      <c r="K68" s="11" t="n"/>
      <c r="L68" s="11" t="n"/>
      <c r="M68" s="16" t="n"/>
      <c r="N68" s="11" t="n"/>
      <c r="O68" s="11" t="n"/>
    </row>
    <row r="69">
      <c r="A69" s="14" t="n"/>
      <c r="B69" s="14" t="n"/>
      <c r="C69" s="14" t="n"/>
      <c r="D69" s="14" t="n"/>
      <c r="E69" s="14" t="n"/>
      <c r="F69" s="15" t="n"/>
      <c r="G69" s="11" t="n"/>
      <c r="H69" s="11" t="n"/>
      <c r="I69" s="11" t="n"/>
      <c r="J69" s="11" t="n"/>
      <c r="K69" s="11" t="n"/>
      <c r="L69" s="11" t="n"/>
      <c r="M69" s="16" t="n"/>
      <c r="N69" s="11" t="n"/>
      <c r="O69" s="11" t="n"/>
    </row>
    <row r="70">
      <c r="A70" s="14" t="n"/>
      <c r="B70" s="14" t="n"/>
      <c r="C70" s="14" t="n"/>
      <c r="D70" s="14" t="n"/>
      <c r="E70" s="14" t="n"/>
      <c r="F70" s="15" t="n"/>
      <c r="G70" s="11" t="n"/>
      <c r="H70" s="11" t="n"/>
      <c r="I70" s="11" t="n"/>
      <c r="J70" s="11" t="n"/>
      <c r="K70" s="11" t="n"/>
      <c r="L70" s="11" t="n"/>
      <c r="M70" s="16" t="n"/>
      <c r="N70" s="11" t="n"/>
      <c r="O70" s="11" t="n"/>
    </row>
    <row r="71">
      <c r="A71" s="14" t="n"/>
      <c r="B71" s="14" t="n"/>
      <c r="C71" s="14" t="n"/>
      <c r="D71" s="14" t="n"/>
      <c r="E71" s="14" t="n"/>
      <c r="F71" s="15" t="n"/>
      <c r="G71" s="11" t="n"/>
      <c r="H71" s="11" t="n"/>
      <c r="I71" s="11" t="n"/>
      <c r="J71" s="11" t="n"/>
      <c r="K71" s="11" t="n"/>
      <c r="L71" s="11" t="n"/>
      <c r="M71" s="16" t="n"/>
      <c r="N71" s="11" t="n"/>
      <c r="O71" s="11" t="n"/>
    </row>
    <row r="72">
      <c r="A72" s="14" t="n"/>
      <c r="B72" s="14" t="n"/>
      <c r="C72" s="14" t="n"/>
      <c r="D72" s="14" t="n"/>
      <c r="E72" s="14" t="n"/>
      <c r="F72" s="15" t="n"/>
      <c r="G72" s="11" t="n"/>
      <c r="H72" s="11" t="n"/>
      <c r="I72" s="11" t="n"/>
      <c r="J72" s="11" t="n"/>
      <c r="K72" s="11" t="n"/>
      <c r="L72" s="11" t="n"/>
      <c r="M72" s="16" t="n"/>
      <c r="N72" s="11" t="n"/>
      <c r="O72" s="11" t="n"/>
    </row>
    <row r="73">
      <c r="A73" s="14" t="n"/>
      <c r="B73" s="14" t="n"/>
      <c r="C73" s="14" t="n"/>
      <c r="D73" s="14" t="n"/>
      <c r="E73" s="14" t="n"/>
      <c r="F73" s="15" t="n"/>
      <c r="G73" s="11" t="n"/>
      <c r="H73" s="11" t="n"/>
      <c r="I73" s="11" t="n"/>
      <c r="J73" s="11" t="n"/>
      <c r="K73" s="11" t="n"/>
      <c r="L73" s="11" t="n"/>
      <c r="M73" s="16" t="n"/>
      <c r="N73" s="11" t="n"/>
      <c r="O73" s="11" t="n"/>
    </row>
    <row r="74">
      <c r="A74" s="14" t="n"/>
      <c r="B74" s="14" t="n"/>
      <c r="C74" s="14" t="n"/>
      <c r="D74" s="14" t="n"/>
      <c r="E74" s="14" t="n"/>
      <c r="F74" s="15" t="n"/>
      <c r="G74" s="11" t="n"/>
      <c r="H74" s="11" t="n"/>
      <c r="I74" s="11" t="n"/>
      <c r="J74" s="11" t="n"/>
      <c r="K74" s="11" t="n"/>
      <c r="L74" s="11" t="n"/>
      <c r="M74" s="16" t="n"/>
      <c r="N74" s="11" t="n"/>
      <c r="O74" s="11" t="n"/>
    </row>
    <row r="75">
      <c r="A75" s="14" t="n"/>
      <c r="B75" s="14" t="n"/>
      <c r="C75" s="14" t="n"/>
      <c r="D75" s="14" t="n"/>
      <c r="E75" s="14" t="n"/>
      <c r="F75" s="15" t="n"/>
      <c r="G75" s="11" t="n"/>
      <c r="H75" s="11" t="n"/>
      <c r="I75" s="11" t="n"/>
      <c r="J75" s="11" t="n"/>
      <c r="K75" s="11" t="n"/>
      <c r="L75" s="11" t="n"/>
      <c r="M75" s="16" t="n"/>
      <c r="N75" s="11" t="n"/>
      <c r="O75" s="11" t="n"/>
    </row>
    <row r="76">
      <c r="A76" s="14" t="n"/>
      <c r="B76" s="14" t="n"/>
      <c r="C76" s="14" t="n"/>
      <c r="D76" s="14" t="n"/>
      <c r="E76" s="14" t="n"/>
      <c r="F76" s="15" t="n"/>
      <c r="G76" s="11" t="n"/>
      <c r="H76" s="11" t="n"/>
      <c r="I76" s="11" t="n"/>
      <c r="J76" s="11" t="n"/>
      <c r="K76" s="11" t="n"/>
      <c r="L76" s="11" t="n"/>
      <c r="M76" s="16" t="n"/>
      <c r="N76" s="11" t="n"/>
      <c r="O76" s="11" t="n"/>
    </row>
    <row r="77">
      <c r="A77" s="14" t="n"/>
      <c r="B77" s="14" t="n"/>
      <c r="C77" s="14" t="n"/>
      <c r="D77" s="14" t="n"/>
      <c r="E77" s="14" t="n"/>
      <c r="F77" s="15" t="n"/>
      <c r="G77" s="11" t="n"/>
      <c r="H77" s="11" t="n"/>
      <c r="I77" s="11" t="n"/>
      <c r="J77" s="11" t="n"/>
      <c r="K77" s="11" t="n"/>
      <c r="L77" s="11" t="n"/>
      <c r="M77" s="16" t="n"/>
      <c r="N77" s="11" t="n"/>
      <c r="O77" s="11" t="n"/>
    </row>
    <row r="78">
      <c r="A78" s="14" t="n"/>
      <c r="B78" s="14" t="n"/>
      <c r="C78" s="14" t="n"/>
      <c r="D78" s="14" t="n"/>
      <c r="E78" s="14" t="n"/>
      <c r="F78" s="15" t="n"/>
      <c r="G78" s="11" t="n"/>
      <c r="H78" s="11" t="n"/>
      <c r="I78" s="11" t="n"/>
      <c r="J78" s="11" t="n"/>
      <c r="K78" s="11" t="n"/>
      <c r="L78" s="11" t="n"/>
      <c r="M78" s="16" t="n"/>
      <c r="N78" s="11" t="n"/>
      <c r="O78" s="11" t="n"/>
    </row>
    <row r="79">
      <c r="A79" s="14" t="n"/>
      <c r="B79" s="14" t="n"/>
      <c r="C79" s="14" t="n"/>
      <c r="D79" s="14" t="n"/>
      <c r="E79" s="14" t="n"/>
      <c r="F79" s="15" t="n"/>
      <c r="G79" s="11" t="n"/>
      <c r="H79" s="11" t="n"/>
      <c r="I79" s="11" t="n"/>
      <c r="J79" s="11" t="n"/>
      <c r="K79" s="11" t="n"/>
      <c r="L79" s="11" t="n"/>
      <c r="M79" s="16" t="n"/>
      <c r="N79" s="11" t="n"/>
      <c r="O79" s="11" t="n"/>
    </row>
    <row r="80">
      <c r="A80" s="14" t="n"/>
      <c r="B80" s="14" t="n"/>
      <c r="C80" s="14" t="n"/>
      <c r="D80" s="14" t="n"/>
      <c r="E80" s="14" t="n"/>
      <c r="F80" s="15" t="n"/>
      <c r="G80" s="11" t="n"/>
      <c r="H80" s="11" t="n"/>
      <c r="I80" s="11" t="n"/>
      <c r="J80" s="11" t="n"/>
      <c r="K80" s="11" t="n"/>
      <c r="L80" s="11" t="n"/>
      <c r="M80" s="16" t="n"/>
      <c r="N80" s="11" t="n"/>
      <c r="O80" s="11" t="n"/>
    </row>
    <row r="81">
      <c r="A81" s="14" t="n"/>
      <c r="B81" s="14" t="n"/>
      <c r="C81" s="14" t="n"/>
      <c r="D81" s="14" t="n"/>
      <c r="E81" s="14" t="n"/>
      <c r="F81" s="15" t="n"/>
      <c r="G81" s="11" t="n"/>
      <c r="H81" s="11" t="n"/>
      <c r="I81" s="11" t="n"/>
      <c r="J81" s="11" t="n"/>
      <c r="K81" s="11" t="n"/>
      <c r="L81" s="11" t="n"/>
      <c r="M81" s="16" t="n"/>
      <c r="N81" s="11" t="n"/>
      <c r="O81" s="11" t="n"/>
    </row>
    <row r="82">
      <c r="A82" s="14" t="n"/>
      <c r="B82" s="14" t="n"/>
      <c r="C82" s="14" t="n"/>
      <c r="D82" s="14" t="n"/>
      <c r="E82" s="14" t="n"/>
      <c r="F82" s="15" t="n"/>
      <c r="G82" s="11" t="n"/>
      <c r="H82" s="11" t="n"/>
      <c r="I82" s="11" t="n"/>
      <c r="J82" s="11" t="n"/>
      <c r="K82" s="11" t="n"/>
      <c r="L82" s="11" t="n"/>
      <c r="M82" s="16" t="n"/>
      <c r="N82" s="11" t="n"/>
      <c r="O82" s="11" t="n"/>
    </row>
    <row r="83">
      <c r="A83" s="14" t="n"/>
      <c r="B83" s="14" t="n"/>
      <c r="C83" s="14" t="n"/>
      <c r="D83" s="14" t="n"/>
      <c r="E83" s="14" t="n"/>
      <c r="F83" s="15" t="n"/>
      <c r="G83" s="11" t="n"/>
      <c r="H83" s="11" t="n"/>
      <c r="I83" s="11" t="n"/>
      <c r="J83" s="11" t="n"/>
      <c r="K83" s="11" t="n"/>
      <c r="L83" s="11" t="n"/>
      <c r="M83" s="16" t="n"/>
      <c r="N83" s="11" t="n"/>
      <c r="O83" s="11" t="n"/>
    </row>
    <row r="84">
      <c r="A84" s="14" t="n"/>
      <c r="B84" s="14" t="n"/>
      <c r="C84" s="14" t="n"/>
      <c r="D84" s="14" t="n"/>
      <c r="E84" s="14" t="n"/>
      <c r="F84" s="15" t="n"/>
      <c r="G84" s="11" t="n"/>
      <c r="H84" s="11" t="n"/>
      <c r="I84" s="11" t="n"/>
      <c r="J84" s="11" t="n"/>
      <c r="K84" s="11" t="n"/>
      <c r="L84" s="11" t="n"/>
      <c r="M84" s="16" t="n"/>
      <c r="N84" s="11" t="n"/>
      <c r="O84" s="11" t="n"/>
    </row>
    <row r="85">
      <c r="A85" s="14" t="n"/>
      <c r="B85" s="14" t="n"/>
      <c r="C85" s="14" t="n"/>
      <c r="D85" s="14" t="n"/>
      <c r="E85" s="14" t="n"/>
      <c r="F85" s="15" t="n"/>
      <c r="G85" s="11" t="n"/>
      <c r="H85" s="11" t="n"/>
      <c r="I85" s="11" t="n"/>
      <c r="J85" s="11" t="n"/>
      <c r="K85" s="11" t="n"/>
      <c r="L85" s="11" t="n"/>
      <c r="M85" s="16" t="n"/>
      <c r="N85" s="11" t="n"/>
      <c r="O85" s="11" t="n"/>
    </row>
    <row r="86">
      <c r="A86" s="14" t="n"/>
      <c r="B86" s="14" t="n"/>
      <c r="C86" s="14" t="n"/>
      <c r="D86" s="14" t="n"/>
      <c r="E86" s="14" t="n"/>
      <c r="F86" s="15" t="n"/>
      <c r="G86" s="11" t="n"/>
      <c r="H86" s="11" t="n"/>
      <c r="I86" s="11" t="n"/>
      <c r="J86" s="11" t="n"/>
      <c r="K86" s="11" t="n"/>
      <c r="L86" s="11" t="n"/>
      <c r="M86" s="16" t="n"/>
      <c r="N86" s="11" t="n"/>
      <c r="O86" s="11" t="n"/>
    </row>
    <row r="87">
      <c r="A87" s="14" t="n"/>
      <c r="B87" s="14" t="n"/>
      <c r="C87" s="14" t="n"/>
      <c r="D87" s="14" t="n"/>
      <c r="E87" s="14" t="n"/>
      <c r="F87" s="15" t="n"/>
      <c r="G87" s="11" t="n"/>
      <c r="H87" s="11" t="n"/>
      <c r="I87" s="11" t="n"/>
      <c r="J87" s="11" t="n"/>
      <c r="K87" s="11" t="n"/>
      <c r="L87" s="11" t="n"/>
      <c r="M87" s="16" t="n"/>
      <c r="N87" s="11" t="n"/>
      <c r="O87" s="11" t="n"/>
    </row>
    <row r="88">
      <c r="A88" s="14" t="n"/>
      <c r="B88" s="14" t="n"/>
      <c r="C88" s="14" t="n"/>
      <c r="D88" s="14" t="n"/>
      <c r="E88" s="14" t="n"/>
      <c r="F88" s="15" t="n"/>
      <c r="G88" s="11" t="n"/>
      <c r="H88" s="11" t="n"/>
      <c r="I88" s="11" t="n"/>
      <c r="J88" s="11" t="n"/>
      <c r="K88" s="11" t="n"/>
      <c r="L88" s="11" t="n"/>
      <c r="M88" s="16" t="n"/>
      <c r="N88" s="11" t="n"/>
      <c r="O88" s="11" t="n"/>
    </row>
    <row r="89">
      <c r="A89" s="14" t="n"/>
      <c r="B89" s="14" t="n"/>
      <c r="C89" s="14" t="n"/>
      <c r="D89" s="14" t="n"/>
      <c r="E89" s="14" t="n"/>
      <c r="F89" s="15" t="n"/>
      <c r="G89" s="11" t="n"/>
      <c r="H89" s="11" t="n"/>
      <c r="I89" s="11" t="n"/>
      <c r="J89" s="11" t="n"/>
      <c r="K89" s="11" t="n"/>
      <c r="L89" s="11" t="n"/>
      <c r="M89" s="16" t="n"/>
      <c r="N89" s="11" t="n"/>
      <c r="O89" s="11" t="n"/>
    </row>
    <row r="90">
      <c r="A90" s="14" t="n"/>
      <c r="B90" s="14" t="n"/>
      <c r="C90" s="14" t="n"/>
      <c r="D90" s="14" t="n"/>
      <c r="E90" s="14" t="n"/>
      <c r="F90" s="15" t="n"/>
      <c r="G90" s="11" t="n"/>
      <c r="H90" s="11" t="n"/>
      <c r="I90" s="11" t="n"/>
      <c r="J90" s="11" t="n"/>
      <c r="K90" s="11" t="n"/>
      <c r="L90" s="11" t="n"/>
      <c r="M90" s="16" t="n"/>
      <c r="N90" s="11" t="n"/>
      <c r="O90" s="11" t="n"/>
    </row>
    <row r="91">
      <c r="A91" s="14" t="n"/>
      <c r="B91" s="14" t="n"/>
      <c r="C91" s="14" t="n"/>
      <c r="D91" s="14" t="n"/>
      <c r="E91" s="14" t="n"/>
      <c r="F91" s="15" t="n"/>
      <c r="G91" s="11" t="n"/>
      <c r="H91" s="11" t="n"/>
      <c r="I91" s="11" t="n"/>
      <c r="J91" s="11" t="n"/>
      <c r="K91" s="11" t="n"/>
      <c r="L91" s="11" t="n"/>
      <c r="M91" s="16" t="n"/>
      <c r="N91" s="11" t="n"/>
      <c r="O91" s="11" t="n"/>
    </row>
    <row r="92">
      <c r="A92" s="14" t="n"/>
      <c r="B92" s="14" t="n"/>
      <c r="C92" s="14" t="n"/>
      <c r="D92" s="14" t="n"/>
      <c r="E92" s="14" t="n"/>
      <c r="F92" s="15" t="n"/>
      <c r="G92" s="11" t="n"/>
      <c r="H92" s="11" t="n"/>
      <c r="I92" s="11" t="n"/>
      <c r="J92" s="11" t="n"/>
      <c r="K92" s="11" t="n"/>
      <c r="L92" s="11" t="n"/>
      <c r="M92" s="16" t="n"/>
      <c r="N92" s="11" t="n"/>
      <c r="O92" s="11" t="n"/>
    </row>
    <row r="93">
      <c r="A93" s="14" t="n"/>
      <c r="B93" s="14" t="n"/>
      <c r="C93" s="14" t="n"/>
      <c r="D93" s="14" t="n"/>
      <c r="E93" s="14" t="n"/>
      <c r="F93" s="15" t="n"/>
      <c r="G93" s="11" t="n"/>
      <c r="H93" s="11" t="n"/>
      <c r="I93" s="11" t="n"/>
      <c r="J93" s="11" t="n"/>
      <c r="K93" s="11" t="n"/>
      <c r="L93" s="11" t="n"/>
      <c r="M93" s="16" t="n"/>
      <c r="N93" s="11" t="n"/>
      <c r="O93" s="11" t="n"/>
    </row>
    <row r="94">
      <c r="A94" s="14" t="n"/>
      <c r="B94" s="14" t="n"/>
      <c r="C94" s="14" t="n"/>
      <c r="D94" s="14" t="n"/>
      <c r="E94" s="14" t="n"/>
      <c r="F94" s="15" t="n"/>
      <c r="G94" s="11" t="n"/>
      <c r="H94" s="11" t="n"/>
      <c r="I94" s="11" t="n"/>
      <c r="J94" s="11" t="n"/>
      <c r="K94" s="11" t="n"/>
      <c r="L94" s="11" t="n"/>
      <c r="M94" s="16" t="n"/>
      <c r="N94" s="11" t="n"/>
      <c r="O94" s="11" t="n"/>
    </row>
    <row r="95">
      <c r="A95" s="14" t="n"/>
      <c r="B95" s="14" t="n"/>
      <c r="C95" s="14" t="n"/>
      <c r="D95" s="14" t="n"/>
      <c r="E95" s="14" t="n"/>
      <c r="F95" s="15" t="n"/>
      <c r="G95" s="11" t="n"/>
      <c r="H95" s="11" t="n"/>
      <c r="I95" s="11" t="n"/>
      <c r="J95" s="11" t="n"/>
      <c r="K95" s="11" t="n"/>
      <c r="L95" s="11" t="n"/>
      <c r="M95" s="16" t="n"/>
      <c r="N95" s="11" t="n"/>
      <c r="O95" s="11" t="n"/>
    </row>
    <row r="96">
      <c r="A96" s="14" t="n"/>
      <c r="B96" s="14" t="n"/>
      <c r="C96" s="14" t="n"/>
      <c r="D96" s="14" t="n"/>
      <c r="E96" s="14" t="n"/>
      <c r="F96" s="15" t="n"/>
      <c r="G96" s="11" t="n"/>
      <c r="H96" s="11" t="n"/>
      <c r="I96" s="11" t="n"/>
      <c r="J96" s="11" t="n"/>
      <c r="K96" s="11" t="n"/>
      <c r="L96" s="11" t="n"/>
      <c r="M96" s="16" t="n"/>
      <c r="N96" s="11" t="n"/>
      <c r="O96" s="11" t="n"/>
    </row>
    <row r="97">
      <c r="A97" s="14" t="n"/>
      <c r="B97" s="14" t="n"/>
      <c r="C97" s="14" t="n"/>
      <c r="D97" s="14" t="n"/>
      <c r="E97" s="14" t="n"/>
      <c r="F97" s="15" t="n"/>
      <c r="G97" s="11" t="n"/>
      <c r="H97" s="11" t="n"/>
      <c r="I97" s="11" t="n"/>
      <c r="J97" s="11" t="n"/>
      <c r="K97" s="11" t="n"/>
      <c r="L97" s="11" t="n"/>
      <c r="M97" s="16" t="n"/>
      <c r="N97" s="11" t="n"/>
      <c r="O97" s="11" t="n"/>
    </row>
    <row r="98">
      <c r="A98" s="14" t="n"/>
      <c r="B98" s="14" t="n"/>
      <c r="C98" s="14" t="n"/>
      <c r="D98" s="14" t="n"/>
      <c r="E98" s="14" t="n"/>
      <c r="F98" s="15" t="n"/>
      <c r="G98" s="11" t="n"/>
      <c r="H98" s="11" t="n"/>
      <c r="I98" s="11" t="n"/>
      <c r="J98" s="11" t="n"/>
      <c r="K98" s="11" t="n"/>
      <c r="L98" s="11" t="n"/>
      <c r="M98" s="16" t="n"/>
      <c r="N98" s="11" t="n"/>
      <c r="O98" s="11" t="n"/>
    </row>
    <row r="99">
      <c r="A99" s="14" t="n"/>
      <c r="B99" s="14" t="n"/>
      <c r="C99" s="14" t="n"/>
      <c r="D99" s="14" t="n"/>
      <c r="E99" s="14" t="n"/>
      <c r="F99" s="15" t="n"/>
      <c r="G99" s="11" t="n"/>
      <c r="H99" s="11" t="n"/>
      <c r="I99" s="11" t="n"/>
      <c r="J99" s="11" t="n"/>
      <c r="K99" s="11" t="n"/>
      <c r="L99" s="11" t="n"/>
      <c r="M99" s="16" t="n"/>
      <c r="N99" s="11" t="n"/>
      <c r="O99" s="11" t="n"/>
    </row>
    <row r="100">
      <c r="A100" s="14" t="n"/>
      <c r="B100" s="14" t="n"/>
      <c r="C100" s="14" t="n"/>
      <c r="D100" s="14" t="n"/>
      <c r="E100" s="14" t="n"/>
      <c r="F100" s="15" t="n"/>
      <c r="G100" s="11" t="n"/>
      <c r="H100" s="11" t="n"/>
      <c r="I100" s="11" t="n"/>
      <c r="J100" s="11" t="n"/>
      <c r="K100" s="11" t="n"/>
      <c r="L100" s="11" t="n"/>
      <c r="M100" s="16" t="n"/>
      <c r="N100" s="11" t="n"/>
      <c r="O100" s="11" t="n"/>
    </row>
    <row r="101">
      <c r="A101" s="14" t="n"/>
      <c r="B101" s="14" t="n"/>
      <c r="C101" s="14" t="n"/>
      <c r="D101" s="14" t="n"/>
      <c r="E101" s="14" t="n"/>
      <c r="F101" s="15" t="n"/>
      <c r="G101" s="11" t="n"/>
      <c r="H101" s="11" t="n"/>
      <c r="I101" s="11" t="n"/>
      <c r="J101" s="11" t="n"/>
      <c r="K101" s="11" t="n"/>
      <c r="L101" s="11" t="n"/>
      <c r="M101" s="16" t="n"/>
      <c r="N101" s="11" t="n"/>
      <c r="O101" s="11" t="n"/>
    </row>
    <row r="102">
      <c r="A102" s="14" t="n"/>
      <c r="B102" s="14" t="n"/>
      <c r="C102" s="14" t="n"/>
      <c r="D102" s="14" t="n"/>
      <c r="E102" s="14" t="n"/>
      <c r="F102" s="15" t="n"/>
      <c r="G102" s="11" t="n"/>
      <c r="H102" s="11" t="n"/>
      <c r="I102" s="11" t="n"/>
      <c r="J102" s="11" t="n"/>
      <c r="K102" s="11" t="n"/>
      <c r="L102" s="11" t="n"/>
      <c r="M102" s="16" t="n"/>
      <c r="N102" s="11" t="n"/>
      <c r="O102" s="11" t="n"/>
    </row>
    <row r="103">
      <c r="A103" s="14" t="n"/>
      <c r="B103" s="14" t="n"/>
      <c r="C103" s="14" t="n"/>
      <c r="D103" s="14" t="n"/>
      <c r="E103" s="14" t="n"/>
      <c r="F103" s="15" t="n"/>
      <c r="G103" s="11" t="n"/>
      <c r="H103" s="11" t="n"/>
      <c r="I103" s="11" t="n"/>
      <c r="J103" s="11" t="n"/>
      <c r="K103" s="11" t="n"/>
      <c r="L103" s="11" t="n"/>
      <c r="M103" s="16" t="n"/>
      <c r="N103" s="11" t="n"/>
      <c r="O103" s="11" t="n"/>
    </row>
    <row r="104">
      <c r="A104" s="14" t="n"/>
      <c r="B104" s="14" t="n"/>
      <c r="C104" s="14" t="n"/>
      <c r="D104" s="14" t="n"/>
      <c r="E104" s="14" t="n"/>
      <c r="F104" s="15" t="n"/>
      <c r="G104" s="11" t="n"/>
      <c r="H104" s="11" t="n"/>
      <c r="I104" s="11" t="n"/>
      <c r="J104" s="11" t="n"/>
      <c r="K104" s="11" t="n"/>
      <c r="L104" s="11" t="n"/>
      <c r="M104" s="16" t="n"/>
      <c r="N104" s="11" t="n"/>
      <c r="O104" s="11" t="n"/>
    </row>
    <row r="105">
      <c r="A105" s="14" t="n"/>
      <c r="B105" s="14" t="n"/>
      <c r="C105" s="14" t="n"/>
      <c r="D105" s="14" t="n"/>
      <c r="E105" s="14" t="n"/>
      <c r="F105" s="15" t="n"/>
      <c r="G105" s="11" t="n"/>
      <c r="H105" s="11" t="n"/>
      <c r="I105" s="11" t="n"/>
      <c r="J105" s="11" t="n"/>
      <c r="K105" s="11" t="n"/>
      <c r="L105" s="11" t="n"/>
      <c r="M105" s="16" t="n"/>
      <c r="N105" s="11" t="n"/>
      <c r="O105" s="11" t="n"/>
    </row>
    <row r="106">
      <c r="A106" s="14" t="n"/>
      <c r="B106" s="14" t="n"/>
      <c r="C106" s="14" t="n"/>
      <c r="D106" s="14" t="n"/>
      <c r="E106" s="14" t="n"/>
      <c r="F106" s="15" t="n"/>
      <c r="G106" s="11" t="n"/>
      <c r="H106" s="11" t="n"/>
      <c r="I106" s="11" t="n"/>
      <c r="J106" s="11" t="n"/>
      <c r="K106" s="11" t="n"/>
      <c r="L106" s="11" t="n"/>
      <c r="M106" s="16" t="n"/>
      <c r="N106" s="11" t="n"/>
      <c r="O106" s="11" t="n"/>
    </row>
    <row r="107">
      <c r="A107" s="14" t="n"/>
      <c r="B107" s="14" t="n"/>
      <c r="C107" s="14" t="n"/>
      <c r="D107" s="14" t="n"/>
      <c r="E107" s="14" t="n"/>
      <c r="F107" s="15" t="n"/>
      <c r="G107" s="11" t="n"/>
      <c r="H107" s="11" t="n"/>
      <c r="I107" s="11" t="n"/>
      <c r="J107" s="11" t="n"/>
      <c r="K107" s="11" t="n"/>
      <c r="L107" s="11" t="n"/>
      <c r="M107" s="16" t="n"/>
      <c r="N107" s="11" t="n"/>
      <c r="O107" s="11" t="n"/>
    </row>
    <row r="108">
      <c r="A108" s="14" t="n"/>
      <c r="B108" s="14" t="n"/>
      <c r="C108" s="14" t="n"/>
      <c r="D108" s="14" t="n"/>
      <c r="E108" s="14" t="n"/>
      <c r="F108" s="15" t="n"/>
      <c r="G108" s="11" t="n"/>
      <c r="H108" s="11" t="n"/>
      <c r="I108" s="11" t="n"/>
      <c r="J108" s="11" t="n"/>
      <c r="K108" s="11" t="n"/>
      <c r="L108" s="11" t="n"/>
      <c r="M108" s="16" t="n"/>
      <c r="N108" s="11" t="n"/>
      <c r="O108" s="11" t="n"/>
    </row>
    <row r="109">
      <c r="A109" s="14" t="n"/>
      <c r="B109" s="14" t="n"/>
      <c r="C109" s="14" t="n"/>
      <c r="D109" s="14" t="n"/>
      <c r="E109" s="14" t="n"/>
      <c r="F109" s="15" t="n"/>
      <c r="G109" s="11" t="n"/>
      <c r="H109" s="11" t="n"/>
      <c r="I109" s="11" t="n"/>
      <c r="J109" s="11" t="n"/>
      <c r="K109" s="11" t="n"/>
      <c r="L109" s="11" t="n"/>
      <c r="M109" s="16" t="n"/>
      <c r="N109" s="11" t="n"/>
      <c r="O109" s="11" t="n"/>
    </row>
    <row r="110">
      <c r="A110" s="14" t="n"/>
      <c r="B110" s="14" t="n"/>
      <c r="C110" s="14" t="n"/>
      <c r="D110" s="14" t="n"/>
      <c r="E110" s="14" t="n"/>
      <c r="F110" s="15" t="n"/>
      <c r="G110" s="11" t="n"/>
      <c r="H110" s="11" t="n"/>
      <c r="I110" s="11" t="n"/>
      <c r="J110" s="11" t="n"/>
      <c r="K110" s="11" t="n"/>
      <c r="L110" s="11" t="n"/>
      <c r="M110" s="16" t="n"/>
      <c r="N110" s="11" t="n"/>
      <c r="O110" s="11" t="n"/>
    </row>
    <row r="111">
      <c r="A111" s="14" t="n"/>
      <c r="B111" s="14" t="n"/>
      <c r="C111" s="14" t="n"/>
      <c r="D111" s="14" t="n"/>
      <c r="E111" s="14" t="n"/>
      <c r="F111" s="15" t="n"/>
      <c r="G111" s="11" t="n"/>
      <c r="H111" s="11" t="n"/>
      <c r="I111" s="11" t="n"/>
      <c r="J111" s="11" t="n"/>
      <c r="K111" s="11" t="n"/>
      <c r="L111" s="11" t="n"/>
      <c r="M111" s="16" t="n"/>
      <c r="N111" s="11" t="n"/>
      <c r="O111" s="11" t="n"/>
    </row>
    <row r="112">
      <c r="A112" s="14" t="n"/>
      <c r="B112" s="14" t="n"/>
      <c r="C112" s="14" t="n"/>
      <c r="D112" s="14" t="n"/>
      <c r="E112" s="14" t="n"/>
      <c r="F112" s="15" t="n"/>
      <c r="G112" s="11" t="n"/>
      <c r="H112" s="11" t="n"/>
      <c r="I112" s="11" t="n"/>
      <c r="J112" s="11" t="n"/>
      <c r="K112" s="11" t="n"/>
      <c r="L112" s="11" t="n"/>
      <c r="M112" s="16" t="n"/>
      <c r="N112" s="11" t="n"/>
      <c r="O112" s="11" t="n"/>
    </row>
    <row r="113">
      <c r="A113" s="14" t="n"/>
      <c r="B113" s="14" t="n"/>
      <c r="C113" s="14" t="n"/>
      <c r="D113" s="14" t="n"/>
      <c r="E113" s="14" t="n"/>
      <c r="F113" s="15" t="n"/>
      <c r="G113" s="11" t="n"/>
      <c r="H113" s="11" t="n"/>
      <c r="I113" s="11" t="n"/>
      <c r="J113" s="11" t="n"/>
      <c r="K113" s="11" t="n"/>
      <c r="L113" s="11" t="n"/>
      <c r="M113" s="16" t="n"/>
      <c r="N113" s="11" t="n"/>
      <c r="O113" s="11" t="n"/>
    </row>
    <row r="114">
      <c r="A114" s="14" t="n"/>
      <c r="B114" s="14" t="n"/>
      <c r="C114" s="14" t="n"/>
      <c r="D114" s="14" t="n"/>
      <c r="E114" s="14" t="n"/>
      <c r="F114" s="15" t="n"/>
      <c r="G114" s="11" t="n"/>
      <c r="H114" s="11" t="n"/>
      <c r="I114" s="11" t="n"/>
      <c r="J114" s="11" t="n"/>
      <c r="K114" s="11" t="n"/>
      <c r="L114" s="11" t="n"/>
      <c r="M114" s="16" t="n"/>
      <c r="N114" s="11" t="n"/>
      <c r="O114" s="11" t="n"/>
    </row>
    <row r="115">
      <c r="A115" s="14" t="n"/>
      <c r="B115" s="14" t="n"/>
      <c r="C115" s="14" t="n"/>
      <c r="D115" s="14" t="n"/>
      <c r="E115" s="14" t="n"/>
      <c r="F115" s="15" t="n"/>
      <c r="G115" s="11" t="n"/>
      <c r="H115" s="11" t="n"/>
      <c r="I115" s="11" t="n"/>
      <c r="J115" s="11" t="n"/>
      <c r="K115" s="11" t="n"/>
      <c r="L115" s="11" t="n"/>
      <c r="M115" s="16" t="n"/>
      <c r="N115" s="11" t="n"/>
      <c r="O115" s="11" t="n"/>
    </row>
    <row r="116">
      <c r="A116" s="14" t="n"/>
      <c r="B116" s="14" t="n"/>
      <c r="C116" s="14" t="n"/>
      <c r="D116" s="14" t="n"/>
      <c r="E116" s="14" t="n"/>
      <c r="F116" s="15" t="n"/>
      <c r="G116" s="11" t="n"/>
      <c r="H116" s="11" t="n"/>
      <c r="I116" s="11" t="n"/>
      <c r="J116" s="11" t="n"/>
      <c r="K116" s="11" t="n"/>
      <c r="L116" s="11" t="n"/>
      <c r="M116" s="16" t="n"/>
      <c r="N116" s="11" t="n"/>
      <c r="O116" s="11" t="n"/>
    </row>
    <row r="117">
      <c r="A117" s="14" t="n"/>
      <c r="B117" s="14" t="n"/>
      <c r="C117" s="14" t="n"/>
      <c r="D117" s="14" t="n"/>
      <c r="E117" s="14" t="n"/>
      <c r="F117" s="15" t="n"/>
      <c r="G117" s="11" t="n"/>
      <c r="H117" s="11" t="n"/>
      <c r="I117" s="11" t="n"/>
      <c r="J117" s="11" t="n"/>
      <c r="K117" s="11" t="n"/>
      <c r="L117" s="11" t="n"/>
      <c r="M117" s="16" t="n"/>
      <c r="N117" s="11" t="n"/>
      <c r="O117" s="11" t="n"/>
    </row>
    <row r="118">
      <c r="A118" s="14" t="n"/>
      <c r="B118" s="14" t="n"/>
      <c r="C118" s="14" t="n"/>
      <c r="D118" s="14" t="n"/>
      <c r="E118" s="14" t="n"/>
      <c r="F118" s="15" t="n"/>
      <c r="G118" s="11" t="n"/>
      <c r="H118" s="11" t="n"/>
      <c r="I118" s="11" t="n"/>
      <c r="J118" s="11" t="n"/>
      <c r="K118" s="11" t="n"/>
      <c r="L118" s="11" t="n"/>
      <c r="M118" s="16" t="n"/>
      <c r="N118" s="11" t="n"/>
      <c r="O118" s="11" t="n"/>
    </row>
    <row r="119">
      <c r="A119" s="14" t="n"/>
      <c r="B119" s="14" t="n"/>
      <c r="C119" s="14" t="n"/>
      <c r="D119" s="14" t="n"/>
      <c r="E119" s="14" t="n"/>
      <c r="F119" s="15" t="n"/>
      <c r="G119" s="11" t="n"/>
      <c r="H119" s="11" t="n"/>
      <c r="I119" s="11" t="n"/>
      <c r="J119" s="11" t="n"/>
      <c r="K119" s="11" t="n"/>
      <c r="L119" s="11" t="n"/>
      <c r="M119" s="16" t="n"/>
      <c r="N119" s="11" t="n"/>
      <c r="O119" s="11" t="n"/>
    </row>
    <row r="120">
      <c r="A120" s="14" t="n"/>
      <c r="B120" s="14" t="n"/>
      <c r="C120" s="14" t="n"/>
      <c r="D120" s="14" t="n"/>
      <c r="E120" s="14" t="n"/>
      <c r="F120" s="15" t="n"/>
      <c r="G120" s="11" t="n"/>
      <c r="H120" s="11" t="n"/>
      <c r="I120" s="11" t="n"/>
      <c r="J120" s="11" t="n"/>
      <c r="K120" s="11" t="n"/>
      <c r="L120" s="11" t="n"/>
      <c r="M120" s="16" t="n"/>
      <c r="N120" s="11" t="n"/>
      <c r="O120" s="11" t="n"/>
    </row>
    <row r="121">
      <c r="A121" s="14" t="n"/>
      <c r="B121" s="14" t="n"/>
      <c r="C121" s="14" t="n"/>
      <c r="D121" s="14" t="n"/>
      <c r="E121" s="14" t="n"/>
      <c r="F121" s="15" t="n"/>
      <c r="G121" s="11" t="n"/>
      <c r="H121" s="11" t="n"/>
      <c r="I121" s="11" t="n"/>
      <c r="J121" s="11" t="n"/>
      <c r="K121" s="11" t="n"/>
      <c r="L121" s="11" t="n"/>
      <c r="M121" s="16" t="n"/>
      <c r="N121" s="11" t="n"/>
      <c r="O121" s="11" t="n"/>
    </row>
    <row r="122">
      <c r="A122" s="14" t="n"/>
      <c r="B122" s="14" t="n"/>
      <c r="C122" s="14" t="n"/>
      <c r="D122" s="14" t="n"/>
      <c r="E122" s="14" t="n"/>
      <c r="F122" s="15" t="n"/>
      <c r="G122" s="11" t="n"/>
      <c r="H122" s="11" t="n"/>
      <c r="I122" s="11" t="n"/>
      <c r="J122" s="11" t="n"/>
      <c r="K122" s="11" t="n"/>
      <c r="L122" s="11" t="n"/>
      <c r="M122" s="16" t="n"/>
      <c r="N122" s="11" t="n"/>
      <c r="O122" s="11" t="n"/>
    </row>
    <row r="123">
      <c r="A123" s="14" t="n"/>
      <c r="B123" s="14" t="n"/>
      <c r="C123" s="14" t="n"/>
      <c r="D123" s="14" t="n"/>
      <c r="E123" s="14" t="n"/>
      <c r="F123" s="15" t="n"/>
      <c r="G123" s="11" t="n"/>
      <c r="H123" s="11" t="n"/>
      <c r="I123" s="11" t="n"/>
      <c r="J123" s="11" t="n"/>
      <c r="K123" s="11" t="n"/>
      <c r="L123" s="11" t="n"/>
      <c r="M123" s="16" t="n"/>
      <c r="N123" s="11" t="n"/>
      <c r="O123" s="11" t="n"/>
    </row>
    <row r="124">
      <c r="A124" s="14" t="n"/>
      <c r="B124" s="14" t="n"/>
      <c r="C124" s="14" t="n"/>
      <c r="D124" s="14" t="n"/>
      <c r="E124" s="14" t="n"/>
      <c r="F124" s="15" t="n"/>
      <c r="G124" s="11" t="n"/>
      <c r="H124" s="11" t="n"/>
      <c r="I124" s="11" t="n"/>
      <c r="J124" s="11" t="n"/>
      <c r="K124" s="11" t="n"/>
      <c r="L124" s="11" t="n"/>
      <c r="M124" s="16" t="n"/>
      <c r="N124" s="11" t="n"/>
      <c r="O124" s="11" t="n"/>
    </row>
    <row r="125">
      <c r="A125" s="14" t="n"/>
      <c r="B125" s="14" t="n"/>
      <c r="C125" s="14" t="n"/>
      <c r="D125" s="14" t="n"/>
      <c r="E125" s="14" t="n"/>
      <c r="F125" s="15" t="n"/>
      <c r="G125" s="11" t="n"/>
      <c r="H125" s="11" t="n"/>
      <c r="I125" s="11" t="n"/>
      <c r="J125" s="11" t="n"/>
      <c r="K125" s="11" t="n"/>
      <c r="L125" s="11" t="n"/>
      <c r="M125" s="16" t="n"/>
      <c r="N125" s="11" t="n"/>
      <c r="O125" s="11" t="n"/>
    </row>
    <row r="126">
      <c r="A126" s="14" t="n"/>
      <c r="B126" s="14" t="n"/>
      <c r="C126" s="14" t="n"/>
      <c r="D126" s="14" t="n"/>
      <c r="E126" s="14" t="n"/>
      <c r="F126" s="15" t="n"/>
      <c r="G126" s="11" t="n"/>
      <c r="H126" s="11" t="n"/>
      <c r="I126" s="11" t="n"/>
      <c r="J126" s="11" t="n"/>
      <c r="K126" s="11" t="n"/>
      <c r="L126" s="11" t="n"/>
      <c r="M126" s="16" t="n"/>
      <c r="N126" s="11" t="n"/>
      <c r="O126" s="11" t="n"/>
    </row>
    <row r="127">
      <c r="A127" s="14" t="n"/>
      <c r="B127" s="14" t="n"/>
      <c r="C127" s="14" t="n"/>
      <c r="D127" s="14" t="n"/>
      <c r="E127" s="14" t="n"/>
      <c r="F127" s="15" t="n"/>
      <c r="G127" s="11" t="n"/>
      <c r="H127" s="11" t="n"/>
      <c r="I127" s="11" t="n"/>
      <c r="J127" s="11" t="n"/>
      <c r="K127" s="11" t="n"/>
      <c r="L127" s="11" t="n"/>
      <c r="M127" s="16" t="n"/>
      <c r="N127" s="11" t="n"/>
      <c r="O127" s="11" t="n"/>
    </row>
    <row r="128">
      <c r="A128" s="14" t="n"/>
      <c r="B128" s="14" t="n"/>
      <c r="C128" s="14" t="n"/>
      <c r="D128" s="14" t="n"/>
      <c r="E128" s="14" t="n"/>
      <c r="F128" s="15" t="n"/>
      <c r="G128" s="11" t="n"/>
      <c r="H128" s="11" t="n"/>
      <c r="I128" s="11" t="n"/>
      <c r="J128" s="11" t="n"/>
      <c r="K128" s="11" t="n"/>
      <c r="L128" s="11" t="n"/>
      <c r="M128" s="16" t="n"/>
      <c r="N128" s="11" t="n"/>
      <c r="O128" s="11" t="n"/>
    </row>
    <row r="129">
      <c r="A129" s="14" t="n"/>
      <c r="B129" s="14" t="n"/>
      <c r="C129" s="14" t="n"/>
      <c r="D129" s="14" t="n"/>
      <c r="E129" s="14" t="n"/>
      <c r="F129" s="15" t="n"/>
      <c r="G129" s="11" t="n"/>
      <c r="H129" s="11" t="n"/>
      <c r="I129" s="11" t="n"/>
      <c r="J129" s="11" t="n"/>
      <c r="K129" s="11" t="n"/>
      <c r="L129" s="11" t="n"/>
      <c r="M129" s="16" t="n"/>
      <c r="N129" s="11" t="n"/>
      <c r="O129" s="11" t="n"/>
    </row>
    <row r="130">
      <c r="A130" s="14" t="n"/>
      <c r="B130" s="14" t="n"/>
      <c r="C130" s="14" t="n"/>
      <c r="D130" s="14" t="n"/>
      <c r="E130" s="14" t="n"/>
      <c r="F130" s="15" t="n"/>
      <c r="G130" s="11" t="n"/>
      <c r="H130" s="11" t="n"/>
      <c r="I130" s="11" t="n"/>
      <c r="J130" s="11" t="n"/>
      <c r="K130" s="11" t="n"/>
      <c r="L130" s="11" t="n"/>
      <c r="M130" s="16" t="n"/>
      <c r="N130" s="11" t="n"/>
      <c r="O130" s="11" t="n"/>
    </row>
    <row r="131">
      <c r="A131" s="14" t="n"/>
      <c r="B131" s="14" t="n"/>
      <c r="C131" s="14" t="n"/>
      <c r="D131" s="14" t="n"/>
      <c r="E131" s="14" t="n"/>
      <c r="F131" s="15" t="n"/>
      <c r="G131" s="11" t="n"/>
      <c r="H131" s="11" t="n"/>
      <c r="I131" s="11" t="n"/>
      <c r="J131" s="11" t="n"/>
      <c r="K131" s="11" t="n"/>
      <c r="L131" s="11" t="n"/>
      <c r="M131" s="16" t="n"/>
      <c r="N131" s="11" t="n"/>
      <c r="O131" s="11" t="n"/>
    </row>
    <row r="132">
      <c r="A132" s="14" t="n"/>
      <c r="B132" s="14" t="n"/>
      <c r="C132" s="14" t="n"/>
      <c r="D132" s="14" t="n"/>
      <c r="E132" s="14" t="n"/>
      <c r="F132" s="15" t="n"/>
      <c r="G132" s="11" t="n"/>
      <c r="H132" s="11" t="n"/>
      <c r="I132" s="11" t="n"/>
      <c r="J132" s="11" t="n"/>
      <c r="K132" s="11" t="n"/>
      <c r="L132" s="11" t="n"/>
      <c r="M132" s="16" t="n"/>
      <c r="N132" s="11" t="n"/>
      <c r="O132" s="11" t="n"/>
    </row>
    <row r="133">
      <c r="A133" s="14" t="n"/>
      <c r="B133" s="14" t="n"/>
      <c r="C133" s="14" t="n"/>
      <c r="D133" s="14" t="n"/>
      <c r="E133" s="14" t="n"/>
      <c r="F133" s="15" t="n"/>
      <c r="G133" s="11" t="n"/>
      <c r="H133" s="11" t="n"/>
      <c r="I133" s="11" t="n"/>
      <c r="J133" s="11" t="n"/>
      <c r="K133" s="11" t="n"/>
      <c r="L133" s="11" t="n"/>
      <c r="M133" s="16" t="n"/>
      <c r="N133" s="11" t="n"/>
      <c r="O133" s="11" t="n"/>
    </row>
    <row r="134">
      <c r="A134" s="14" t="n"/>
      <c r="B134" s="14" t="n"/>
      <c r="C134" s="14" t="n"/>
      <c r="D134" s="14" t="n"/>
      <c r="E134" s="14" t="n"/>
      <c r="F134" s="15" t="n"/>
      <c r="G134" s="11" t="n"/>
      <c r="H134" s="11" t="n"/>
      <c r="I134" s="11" t="n"/>
      <c r="J134" s="11" t="n"/>
      <c r="K134" s="11" t="n"/>
      <c r="L134" s="11" t="n"/>
      <c r="M134" s="16" t="n"/>
      <c r="N134" s="11" t="n"/>
      <c r="O134" s="11" t="n"/>
    </row>
    <row r="135">
      <c r="A135" s="14" t="n"/>
      <c r="B135" s="14" t="n"/>
      <c r="C135" s="14" t="n"/>
      <c r="D135" s="14" t="n"/>
      <c r="E135" s="14" t="n"/>
      <c r="F135" s="15" t="n"/>
      <c r="G135" s="11" t="n"/>
      <c r="H135" s="11" t="n"/>
      <c r="I135" s="11" t="n"/>
      <c r="J135" s="11" t="n"/>
      <c r="K135" s="11" t="n"/>
      <c r="L135" s="11" t="n"/>
      <c r="M135" s="16" t="n"/>
      <c r="N135" s="11" t="n"/>
      <c r="O135" s="11" t="n"/>
    </row>
    <row r="136">
      <c r="A136" s="14" t="n"/>
      <c r="B136" s="14" t="n"/>
      <c r="C136" s="14" t="n"/>
      <c r="D136" s="14" t="n"/>
      <c r="E136" s="14" t="n"/>
      <c r="F136" s="15" t="n"/>
      <c r="G136" s="11" t="n"/>
      <c r="H136" s="11" t="n"/>
      <c r="I136" s="11" t="n"/>
      <c r="J136" s="11" t="n"/>
      <c r="K136" s="11" t="n"/>
      <c r="L136" s="11" t="n"/>
      <c r="M136" s="16" t="n"/>
      <c r="N136" s="11" t="n"/>
      <c r="O136" s="11" t="n"/>
    </row>
    <row r="137">
      <c r="A137" s="14" t="n"/>
      <c r="B137" s="14" t="n"/>
      <c r="C137" s="14" t="n"/>
      <c r="D137" s="14" t="n"/>
      <c r="E137" s="14" t="n"/>
      <c r="F137" s="15" t="n"/>
      <c r="G137" s="11" t="n"/>
      <c r="H137" s="11" t="n"/>
      <c r="I137" s="11" t="n"/>
      <c r="J137" s="11" t="n"/>
      <c r="K137" s="11" t="n"/>
      <c r="L137" s="11" t="n"/>
      <c r="M137" s="16" t="n"/>
      <c r="N137" s="11" t="n"/>
      <c r="O137" s="11" t="n"/>
    </row>
    <row r="138">
      <c r="A138" s="14" t="n"/>
      <c r="B138" s="14" t="n"/>
      <c r="C138" s="14" t="n"/>
      <c r="D138" s="14" t="n"/>
      <c r="E138" s="14" t="n"/>
      <c r="F138" s="15" t="n"/>
      <c r="G138" s="11" t="n"/>
      <c r="H138" s="11" t="n"/>
      <c r="I138" s="11" t="n"/>
      <c r="J138" s="11" t="n"/>
      <c r="K138" s="11" t="n"/>
      <c r="L138" s="11" t="n"/>
      <c r="M138" s="16" t="n"/>
      <c r="N138" s="11" t="n"/>
      <c r="O138" s="11" t="n"/>
    </row>
    <row r="139">
      <c r="A139" s="14" t="n"/>
      <c r="B139" s="14" t="n"/>
      <c r="C139" s="14" t="n"/>
      <c r="D139" s="14" t="n"/>
      <c r="E139" s="14" t="n"/>
      <c r="F139" s="15" t="n"/>
      <c r="G139" s="11" t="n"/>
      <c r="H139" s="11" t="n"/>
      <c r="I139" s="11" t="n"/>
      <c r="J139" s="11" t="n"/>
      <c r="K139" s="11" t="n"/>
      <c r="L139" s="11" t="n"/>
      <c r="M139" s="16" t="n"/>
      <c r="N139" s="11" t="n"/>
      <c r="O139" s="11" t="n"/>
    </row>
    <row r="140">
      <c r="A140" s="14" t="n"/>
      <c r="B140" s="14" t="n"/>
      <c r="C140" s="14" t="n"/>
      <c r="D140" s="14" t="n"/>
      <c r="E140" s="14" t="n"/>
      <c r="F140" s="15" t="n"/>
      <c r="G140" s="11" t="n"/>
      <c r="H140" s="11" t="n"/>
      <c r="I140" s="11" t="n"/>
      <c r="J140" s="11" t="n"/>
      <c r="K140" s="11" t="n"/>
      <c r="L140" s="11" t="n"/>
      <c r="M140" s="16" t="n"/>
      <c r="N140" s="11" t="n"/>
      <c r="O140" s="11" t="n"/>
    </row>
    <row r="141">
      <c r="A141" s="14" t="n"/>
      <c r="B141" s="14" t="n"/>
      <c r="C141" s="14" t="n"/>
      <c r="D141" s="14" t="n"/>
      <c r="E141" s="14" t="n"/>
      <c r="F141" s="15" t="n"/>
      <c r="G141" s="11" t="n"/>
      <c r="H141" s="11" t="n"/>
      <c r="I141" s="11" t="n"/>
      <c r="J141" s="11" t="n"/>
      <c r="K141" s="11" t="n"/>
      <c r="L141" s="11" t="n"/>
      <c r="M141" s="16" t="n"/>
      <c r="N141" s="11" t="n"/>
      <c r="O141" s="11" t="n"/>
    </row>
    <row r="142">
      <c r="A142" s="14" t="n"/>
      <c r="B142" s="14" t="n"/>
      <c r="C142" s="14" t="n"/>
      <c r="D142" s="14" t="n"/>
      <c r="E142" s="14" t="n"/>
      <c r="F142" s="15" t="n"/>
      <c r="G142" s="11" t="n"/>
      <c r="H142" s="11" t="n"/>
      <c r="I142" s="11" t="n"/>
      <c r="J142" s="11" t="n"/>
      <c r="K142" s="11" t="n"/>
      <c r="L142" s="11" t="n"/>
      <c r="M142" s="16" t="n"/>
      <c r="N142" s="11" t="n"/>
      <c r="O142" s="11" t="n"/>
    </row>
    <row r="143">
      <c r="A143" s="14" t="n"/>
      <c r="B143" s="14" t="n"/>
      <c r="C143" s="14" t="n"/>
      <c r="D143" s="14" t="n"/>
      <c r="E143" s="14" t="n"/>
      <c r="F143" s="15" t="n"/>
      <c r="G143" s="11" t="n"/>
      <c r="H143" s="11" t="n"/>
      <c r="I143" s="11" t="n"/>
      <c r="J143" s="11" t="n"/>
      <c r="K143" s="11" t="n"/>
      <c r="L143" s="11" t="n"/>
      <c r="M143" s="16" t="n"/>
      <c r="N143" s="11" t="n"/>
      <c r="O143" s="11" t="n"/>
    </row>
    <row r="144">
      <c r="A144" s="14" t="n"/>
      <c r="B144" s="14" t="n"/>
      <c r="C144" s="14" t="n"/>
      <c r="D144" s="14" t="n"/>
      <c r="E144" s="14" t="n"/>
      <c r="F144" s="15" t="n"/>
      <c r="G144" s="11" t="n"/>
      <c r="H144" s="11" t="n"/>
      <c r="I144" s="11" t="n"/>
      <c r="J144" s="11" t="n"/>
      <c r="K144" s="11" t="n"/>
      <c r="L144" s="11" t="n"/>
      <c r="M144" s="16" t="n"/>
      <c r="N144" s="11" t="n"/>
      <c r="O144" s="11" t="n"/>
    </row>
    <row r="145">
      <c r="A145" s="14" t="n"/>
      <c r="B145" s="14" t="n"/>
      <c r="C145" s="14" t="n"/>
      <c r="D145" s="14" t="n"/>
      <c r="E145" s="14" t="n"/>
      <c r="F145" s="15" t="n"/>
      <c r="G145" s="11" t="n"/>
      <c r="H145" s="11" t="n"/>
      <c r="I145" s="11" t="n"/>
      <c r="J145" s="11" t="n"/>
      <c r="K145" s="11" t="n"/>
      <c r="L145" s="11" t="n"/>
      <c r="M145" s="16" t="n"/>
      <c r="N145" s="11" t="n"/>
      <c r="O145" s="11" t="n"/>
    </row>
    <row r="146">
      <c r="A146" s="14" t="n"/>
      <c r="B146" s="14" t="n"/>
      <c r="C146" s="14" t="n"/>
      <c r="D146" s="14" t="n"/>
      <c r="E146" s="14" t="n"/>
      <c r="F146" s="15" t="n"/>
      <c r="G146" s="11" t="n"/>
      <c r="H146" s="11" t="n"/>
      <c r="I146" s="11" t="n"/>
      <c r="J146" s="11" t="n"/>
      <c r="K146" s="11" t="n"/>
      <c r="L146" s="11" t="n"/>
      <c r="M146" s="16" t="n"/>
      <c r="N146" s="11" t="n"/>
      <c r="O146" s="11" t="n"/>
    </row>
    <row r="147">
      <c r="A147" s="14" t="n"/>
      <c r="B147" s="14" t="n"/>
      <c r="C147" s="14" t="n"/>
      <c r="D147" s="14" t="n"/>
      <c r="E147" s="14" t="n"/>
      <c r="F147" s="15" t="n"/>
      <c r="G147" s="11" t="n"/>
      <c r="H147" s="11" t="n"/>
      <c r="I147" s="11" t="n"/>
      <c r="J147" s="11" t="n"/>
      <c r="K147" s="11" t="n"/>
      <c r="L147" s="11" t="n"/>
      <c r="M147" s="16" t="n"/>
      <c r="N147" s="11" t="n"/>
      <c r="O147" s="11" t="n"/>
    </row>
    <row r="148">
      <c r="A148" s="14" t="n"/>
      <c r="B148" s="14" t="n"/>
      <c r="C148" s="14" t="n"/>
      <c r="D148" s="14" t="n"/>
      <c r="E148" s="14" t="n"/>
      <c r="F148" s="15" t="n"/>
      <c r="G148" s="11" t="n"/>
      <c r="H148" s="11" t="n"/>
      <c r="I148" s="11" t="n"/>
      <c r="J148" s="11" t="n"/>
      <c r="K148" s="11" t="n"/>
      <c r="L148" s="11" t="n"/>
      <c r="M148" s="16" t="n"/>
      <c r="N148" s="11" t="n"/>
      <c r="O148" s="11" t="n"/>
    </row>
    <row r="149">
      <c r="A149" s="14" t="n"/>
      <c r="B149" s="14" t="n"/>
      <c r="C149" s="14" t="n"/>
      <c r="D149" s="14" t="n"/>
      <c r="E149" s="14" t="n"/>
      <c r="F149" s="15" t="n"/>
      <c r="G149" s="11" t="n"/>
      <c r="H149" s="11" t="n"/>
      <c r="I149" s="11" t="n"/>
      <c r="J149" s="11" t="n"/>
      <c r="K149" s="11" t="n"/>
      <c r="L149" s="11" t="n"/>
      <c r="M149" s="16" t="n"/>
      <c r="N149" s="11" t="n"/>
      <c r="O149" s="11" t="n"/>
    </row>
    <row r="150">
      <c r="A150" s="14" t="n"/>
      <c r="B150" s="14" t="n"/>
      <c r="C150" s="14" t="n"/>
      <c r="D150" s="14" t="n"/>
      <c r="E150" s="14" t="n"/>
      <c r="F150" s="15" t="n"/>
      <c r="G150" s="11" t="n"/>
      <c r="H150" s="11" t="n"/>
      <c r="I150" s="11" t="n"/>
      <c r="J150" s="11" t="n"/>
      <c r="K150" s="11" t="n"/>
      <c r="L150" s="11" t="n"/>
      <c r="M150" s="16" t="n"/>
      <c r="N150" s="11" t="n"/>
      <c r="O150" s="11" t="n"/>
    </row>
    <row r="151">
      <c r="A151" s="14" t="n"/>
      <c r="B151" s="14" t="n"/>
      <c r="C151" s="14" t="n"/>
      <c r="D151" s="14" t="n"/>
      <c r="E151" s="14" t="n"/>
      <c r="F151" s="15" t="n"/>
      <c r="G151" s="11" t="n"/>
      <c r="H151" s="11" t="n"/>
      <c r="I151" s="11" t="n"/>
      <c r="J151" s="11" t="n"/>
      <c r="K151" s="11" t="n"/>
      <c r="L151" s="11" t="n"/>
      <c r="M151" s="16" t="n"/>
      <c r="N151" s="11" t="n"/>
      <c r="O151" s="11" t="n"/>
    </row>
    <row r="152">
      <c r="A152" s="14" t="n"/>
      <c r="B152" s="14" t="n"/>
      <c r="C152" s="14" t="n"/>
      <c r="D152" s="14" t="n"/>
      <c r="E152" s="14" t="n"/>
      <c r="F152" s="15" t="n"/>
      <c r="G152" s="11" t="n"/>
      <c r="H152" s="11" t="n"/>
      <c r="I152" s="11" t="n"/>
      <c r="J152" s="11" t="n"/>
      <c r="K152" s="11" t="n"/>
      <c r="L152" s="11" t="n"/>
      <c r="M152" s="16" t="n"/>
      <c r="N152" s="11" t="n"/>
      <c r="O152" s="11" t="n"/>
    </row>
    <row r="153">
      <c r="A153" s="14" t="n"/>
      <c r="B153" s="14" t="n"/>
      <c r="C153" s="14" t="n"/>
      <c r="D153" s="14" t="n"/>
      <c r="E153" s="14" t="n"/>
      <c r="F153" s="15" t="n"/>
      <c r="G153" s="11" t="n"/>
      <c r="H153" s="11" t="n"/>
      <c r="I153" s="11" t="n"/>
      <c r="J153" s="11" t="n"/>
      <c r="K153" s="11" t="n"/>
      <c r="L153" s="11" t="n"/>
      <c r="M153" s="16" t="n"/>
      <c r="N153" s="11" t="n"/>
      <c r="O153" s="11" t="n"/>
    </row>
    <row r="154">
      <c r="A154" s="14" t="n"/>
      <c r="B154" s="14" t="n"/>
      <c r="C154" s="14" t="n"/>
      <c r="D154" s="14" t="n"/>
      <c r="E154" s="14" t="n"/>
      <c r="F154" s="15" t="n"/>
      <c r="G154" s="11" t="n"/>
      <c r="H154" s="11" t="n"/>
      <c r="I154" s="11" t="n"/>
      <c r="J154" s="11" t="n"/>
      <c r="K154" s="11" t="n"/>
      <c r="L154" s="11" t="n"/>
      <c r="M154" s="16" t="n"/>
      <c r="N154" s="11" t="n"/>
      <c r="O154" s="11" t="n"/>
    </row>
    <row r="155">
      <c r="A155" s="14" t="n"/>
      <c r="B155" s="14" t="n"/>
      <c r="C155" s="14" t="n"/>
      <c r="D155" s="14" t="n"/>
      <c r="E155" s="14" t="n"/>
      <c r="F155" s="15" t="n"/>
      <c r="G155" s="11" t="n"/>
      <c r="H155" s="11" t="n"/>
      <c r="I155" s="11" t="n"/>
      <c r="J155" s="11" t="n"/>
      <c r="K155" s="11" t="n"/>
      <c r="L155" s="11" t="n"/>
      <c r="M155" s="16" t="n"/>
      <c r="N155" s="11" t="n"/>
      <c r="O155" s="11" t="n"/>
    </row>
    <row r="156">
      <c r="A156" s="14" t="n"/>
      <c r="B156" s="14" t="n"/>
      <c r="C156" s="14" t="n"/>
      <c r="D156" s="14" t="n"/>
      <c r="E156" s="14" t="n"/>
      <c r="F156" s="15" t="n"/>
      <c r="G156" s="11" t="n"/>
      <c r="H156" s="11" t="n"/>
      <c r="I156" s="11" t="n"/>
      <c r="J156" s="11" t="n"/>
      <c r="K156" s="11" t="n"/>
      <c r="L156" s="11" t="n"/>
      <c r="M156" s="16" t="n"/>
      <c r="N156" s="11" t="n"/>
      <c r="O156" s="11" t="n"/>
    </row>
    <row r="157">
      <c r="A157" s="14" t="n"/>
      <c r="B157" s="14" t="n"/>
      <c r="C157" s="14" t="n"/>
      <c r="D157" s="14" t="n"/>
      <c r="E157" s="14" t="n"/>
      <c r="F157" s="15" t="n"/>
      <c r="G157" s="11" t="n"/>
      <c r="H157" s="11" t="n"/>
      <c r="I157" s="11" t="n"/>
      <c r="J157" s="11" t="n"/>
      <c r="K157" s="11" t="n"/>
      <c r="L157" s="11" t="n"/>
      <c r="M157" s="16" t="n"/>
      <c r="N157" s="11" t="n"/>
      <c r="O157" s="11" t="n"/>
    </row>
    <row r="158">
      <c r="A158" s="14" t="n"/>
      <c r="B158" s="14" t="n"/>
      <c r="C158" s="14" t="n"/>
      <c r="D158" s="14" t="n"/>
      <c r="E158" s="14" t="n"/>
      <c r="F158" s="15" t="n"/>
      <c r="G158" s="11" t="n"/>
      <c r="H158" s="11" t="n"/>
      <c r="I158" s="11" t="n"/>
      <c r="J158" s="11" t="n"/>
      <c r="K158" s="11" t="n"/>
      <c r="L158" s="11" t="n"/>
      <c r="M158" s="16" t="n"/>
      <c r="N158" s="11" t="n"/>
      <c r="O158" s="11" t="n"/>
    </row>
    <row r="159">
      <c r="A159" s="14" t="n"/>
      <c r="B159" s="14" t="n"/>
      <c r="C159" s="14" t="n"/>
      <c r="D159" s="14" t="n"/>
      <c r="E159" s="14" t="n"/>
      <c r="F159" s="15" t="n"/>
      <c r="G159" s="11" t="n"/>
      <c r="H159" s="11" t="n"/>
      <c r="I159" s="11" t="n"/>
      <c r="J159" s="11" t="n"/>
      <c r="K159" s="11" t="n"/>
      <c r="L159" s="11" t="n"/>
      <c r="M159" s="16" t="n"/>
      <c r="N159" s="11" t="n"/>
      <c r="O159" s="11" t="n"/>
    </row>
    <row r="160">
      <c r="A160" s="14" t="n"/>
      <c r="B160" s="14" t="n"/>
      <c r="C160" s="14" t="n"/>
      <c r="D160" s="14" t="n"/>
      <c r="E160" s="14" t="n"/>
      <c r="F160" s="15" t="n"/>
      <c r="G160" s="11" t="n"/>
      <c r="H160" s="11" t="n"/>
      <c r="I160" s="11" t="n"/>
      <c r="J160" s="11" t="n"/>
      <c r="K160" s="11" t="n"/>
      <c r="L160" s="11" t="n"/>
      <c r="M160" s="16" t="n"/>
      <c r="N160" s="11" t="n"/>
      <c r="O160" s="11" t="n"/>
    </row>
    <row r="161">
      <c r="A161" s="14" t="n"/>
      <c r="B161" s="14" t="n"/>
      <c r="C161" s="14" t="n"/>
      <c r="D161" s="14" t="n"/>
      <c r="E161" s="14" t="n"/>
      <c r="F161" s="15" t="n"/>
      <c r="G161" s="11" t="n"/>
      <c r="H161" s="11" t="n"/>
      <c r="I161" s="11" t="n"/>
      <c r="J161" s="11" t="n"/>
      <c r="K161" s="11" t="n"/>
      <c r="L161" s="11" t="n"/>
      <c r="M161" s="16" t="n"/>
      <c r="N161" s="11" t="n"/>
      <c r="O161" s="11" t="n"/>
    </row>
    <row r="162">
      <c r="A162" s="14" t="n"/>
      <c r="B162" s="14" t="n"/>
      <c r="C162" s="14" t="n"/>
      <c r="D162" s="14" t="n"/>
      <c r="E162" s="14" t="n"/>
      <c r="F162" s="15" t="n"/>
      <c r="G162" s="11" t="n"/>
      <c r="H162" s="11" t="n"/>
      <c r="I162" s="11" t="n"/>
      <c r="J162" s="11" t="n"/>
      <c r="K162" s="11" t="n"/>
      <c r="L162" s="11" t="n"/>
      <c r="M162" s="16" t="n"/>
      <c r="N162" s="11" t="n"/>
      <c r="O162" s="11" t="n"/>
    </row>
    <row r="163">
      <c r="A163" s="14" t="n"/>
      <c r="B163" s="14" t="n"/>
      <c r="C163" s="14" t="n"/>
      <c r="D163" s="14" t="n"/>
      <c r="E163" s="14" t="n"/>
      <c r="F163" s="15" t="n"/>
      <c r="G163" s="11" t="n"/>
      <c r="H163" s="11" t="n"/>
      <c r="I163" s="11" t="n"/>
      <c r="J163" s="11" t="n"/>
      <c r="K163" s="11" t="n"/>
      <c r="L163" s="11" t="n"/>
      <c r="M163" s="16" t="n"/>
      <c r="N163" s="11" t="n"/>
      <c r="O163" s="11" t="n"/>
    </row>
    <row r="164">
      <c r="A164" s="14" t="n"/>
      <c r="B164" s="14" t="n"/>
      <c r="C164" s="14" t="n"/>
      <c r="D164" s="14" t="n"/>
      <c r="E164" s="14" t="n"/>
      <c r="F164" s="15" t="n"/>
      <c r="G164" s="11" t="n"/>
      <c r="H164" s="11" t="n"/>
      <c r="I164" s="11" t="n"/>
      <c r="J164" s="11" t="n"/>
      <c r="K164" s="11" t="n"/>
      <c r="L164" s="11" t="n"/>
      <c r="M164" s="16" t="n"/>
      <c r="N164" s="11" t="n"/>
      <c r="O164" s="11" t="n"/>
    </row>
    <row r="165">
      <c r="A165" s="14" t="n"/>
      <c r="B165" s="14" t="n"/>
      <c r="C165" s="14" t="n"/>
      <c r="D165" s="14" t="n"/>
      <c r="E165" s="14" t="n"/>
      <c r="F165" s="15" t="n"/>
      <c r="G165" s="11" t="n"/>
      <c r="H165" s="11" t="n"/>
      <c r="I165" s="11" t="n"/>
      <c r="J165" s="11" t="n"/>
      <c r="K165" s="11" t="n"/>
      <c r="L165" s="11" t="n"/>
      <c r="M165" s="16" t="n"/>
      <c r="N165" s="11" t="n"/>
      <c r="O165" s="11" t="n"/>
    </row>
    <row r="166">
      <c r="A166" s="14" t="n"/>
      <c r="B166" s="14" t="n"/>
      <c r="C166" s="14" t="n"/>
      <c r="D166" s="14" t="n"/>
      <c r="E166" s="14" t="n"/>
      <c r="F166" s="15" t="n"/>
      <c r="G166" s="11" t="n"/>
      <c r="H166" s="11" t="n"/>
      <c r="I166" s="11" t="n"/>
      <c r="J166" s="11" t="n"/>
      <c r="K166" s="11" t="n"/>
      <c r="L166" s="11" t="n"/>
      <c r="M166" s="16" t="n"/>
      <c r="N166" s="11" t="n"/>
      <c r="O166" s="11" t="n"/>
    </row>
    <row r="167">
      <c r="A167" s="14" t="n"/>
      <c r="B167" s="14" t="n"/>
      <c r="C167" s="14" t="n"/>
      <c r="D167" s="14" t="n"/>
      <c r="E167" s="14" t="n"/>
      <c r="F167" s="15" t="n"/>
      <c r="G167" s="11" t="n"/>
      <c r="H167" s="11" t="n"/>
      <c r="I167" s="11" t="n"/>
      <c r="J167" s="11" t="n"/>
      <c r="K167" s="11" t="n"/>
      <c r="L167" s="11" t="n"/>
      <c r="M167" s="16" t="n"/>
      <c r="N167" s="11" t="n"/>
      <c r="O167" s="11" t="n"/>
    </row>
    <row r="168">
      <c r="A168" s="14" t="n"/>
      <c r="B168" s="14" t="n"/>
      <c r="C168" s="14" t="n"/>
      <c r="D168" s="14" t="n"/>
      <c r="E168" s="14" t="n"/>
      <c r="F168" s="15" t="n"/>
      <c r="G168" s="11" t="n"/>
      <c r="H168" s="11" t="n"/>
      <c r="I168" s="11" t="n"/>
      <c r="J168" s="11" t="n"/>
      <c r="K168" s="11" t="n"/>
      <c r="L168" s="11" t="n"/>
      <c r="M168" s="16" t="n"/>
      <c r="N168" s="11" t="n"/>
      <c r="O168" s="11" t="n"/>
    </row>
    <row r="169">
      <c r="A169" s="14" t="n"/>
      <c r="B169" s="14" t="n"/>
      <c r="C169" s="14" t="n"/>
      <c r="D169" s="14" t="n"/>
      <c r="E169" s="14" t="n"/>
      <c r="F169" s="15" t="n"/>
      <c r="G169" s="11" t="n"/>
      <c r="H169" s="11" t="n"/>
      <c r="I169" s="11" t="n"/>
      <c r="J169" s="11" t="n"/>
      <c r="K169" s="11" t="n"/>
      <c r="L169" s="11" t="n"/>
      <c r="M169" s="16" t="n"/>
      <c r="N169" s="11" t="n"/>
      <c r="O169" s="11" t="n"/>
    </row>
    <row r="170">
      <c r="A170" s="14" t="n"/>
      <c r="B170" s="14" t="n"/>
      <c r="C170" s="14" t="n"/>
      <c r="D170" s="14" t="n"/>
      <c r="E170" s="14" t="n"/>
      <c r="F170" s="15" t="n"/>
      <c r="G170" s="11" t="n"/>
      <c r="H170" s="11" t="n"/>
      <c r="I170" s="11" t="n"/>
      <c r="J170" s="11" t="n"/>
      <c r="K170" s="11" t="n"/>
      <c r="L170" s="11" t="n"/>
      <c r="M170" s="16" t="n"/>
      <c r="N170" s="11" t="n"/>
      <c r="O170" s="11" t="n"/>
    </row>
    <row r="171">
      <c r="A171" s="14" t="n"/>
      <c r="B171" s="14" t="n"/>
      <c r="C171" s="14" t="n"/>
      <c r="D171" s="14" t="n"/>
      <c r="E171" s="14" t="n"/>
      <c r="F171" s="15" t="n"/>
      <c r="G171" s="11" t="n"/>
      <c r="H171" s="11" t="n"/>
      <c r="I171" s="11" t="n"/>
      <c r="J171" s="11" t="n"/>
      <c r="K171" s="11" t="n"/>
      <c r="L171" s="11" t="n"/>
      <c r="M171" s="16" t="n"/>
      <c r="N171" s="11" t="n"/>
      <c r="O171" s="11" t="n"/>
    </row>
    <row r="172">
      <c r="A172" s="14" t="n"/>
      <c r="B172" s="14" t="n"/>
      <c r="C172" s="14" t="n"/>
      <c r="D172" s="14" t="n"/>
      <c r="E172" s="14" t="n"/>
      <c r="F172" s="15" t="n"/>
      <c r="G172" s="11" t="n"/>
      <c r="H172" s="11" t="n"/>
      <c r="I172" s="11" t="n"/>
      <c r="J172" s="11" t="n"/>
      <c r="K172" s="11" t="n"/>
      <c r="L172" s="11" t="n"/>
      <c r="M172" s="16" t="n"/>
      <c r="N172" s="11" t="n"/>
      <c r="O172" s="11" t="n"/>
    </row>
    <row r="173">
      <c r="A173" s="14" t="n"/>
      <c r="B173" s="14" t="n"/>
      <c r="C173" s="14" t="n"/>
      <c r="D173" s="14" t="n"/>
      <c r="E173" s="14" t="n"/>
      <c r="F173" s="15" t="n"/>
      <c r="G173" s="11" t="n"/>
      <c r="H173" s="11" t="n"/>
      <c r="I173" s="11" t="n"/>
      <c r="J173" s="11" t="n"/>
      <c r="K173" s="11" t="n"/>
      <c r="L173" s="11" t="n"/>
      <c r="M173" s="16" t="n"/>
      <c r="N173" s="11" t="n"/>
      <c r="O173" s="11" t="n"/>
    </row>
    <row r="174">
      <c r="A174" s="14" t="n"/>
      <c r="B174" s="14" t="n"/>
      <c r="C174" s="14" t="n"/>
      <c r="D174" s="14" t="n"/>
      <c r="E174" s="14" t="n"/>
      <c r="F174" s="15" t="n"/>
      <c r="G174" s="11" t="n"/>
      <c r="H174" s="11" t="n"/>
      <c r="I174" s="11" t="n"/>
      <c r="J174" s="11" t="n"/>
      <c r="K174" s="11" t="n"/>
      <c r="L174" s="11" t="n"/>
      <c r="M174" s="16" t="n"/>
      <c r="N174" s="11" t="n"/>
      <c r="O174" s="11" t="n"/>
    </row>
    <row r="175">
      <c r="A175" s="14" t="n"/>
      <c r="B175" s="14" t="n"/>
      <c r="C175" s="14" t="n"/>
      <c r="D175" s="14" t="n"/>
      <c r="E175" s="14" t="n"/>
      <c r="F175" s="15" t="n"/>
      <c r="G175" s="11" t="n"/>
      <c r="H175" s="11" t="n"/>
      <c r="I175" s="11" t="n"/>
      <c r="J175" s="11" t="n"/>
      <c r="K175" s="11" t="n"/>
      <c r="L175" s="11" t="n"/>
      <c r="M175" s="16" t="n"/>
      <c r="N175" s="11" t="n"/>
      <c r="O175" s="11" t="n"/>
    </row>
    <row r="176">
      <c r="A176" s="14" t="n"/>
      <c r="B176" s="14" t="n"/>
      <c r="C176" s="14" t="n"/>
      <c r="D176" s="14" t="n"/>
      <c r="E176" s="14" t="n"/>
      <c r="F176" s="15" t="n"/>
      <c r="G176" s="11" t="n"/>
      <c r="H176" s="11" t="n"/>
      <c r="I176" s="11" t="n"/>
      <c r="J176" s="11" t="n"/>
      <c r="K176" s="11" t="n"/>
      <c r="L176" s="11" t="n"/>
      <c r="M176" s="16" t="n"/>
      <c r="N176" s="11" t="n"/>
      <c r="O176" s="11" t="n"/>
    </row>
    <row r="177">
      <c r="A177" s="14" t="n"/>
      <c r="B177" s="14" t="n"/>
      <c r="C177" s="14" t="n"/>
      <c r="D177" s="14" t="n"/>
      <c r="E177" s="14" t="n"/>
      <c r="F177" s="15" t="n"/>
      <c r="G177" s="11" t="n"/>
      <c r="H177" s="11" t="n"/>
      <c r="I177" s="11" t="n"/>
      <c r="J177" s="11" t="n"/>
      <c r="K177" s="11" t="n"/>
      <c r="L177" s="11" t="n"/>
      <c r="M177" s="16" t="n"/>
      <c r="N177" s="11" t="n"/>
      <c r="O177" s="11" t="n"/>
    </row>
    <row r="178">
      <c r="A178" s="14" t="n"/>
      <c r="B178" s="14" t="n"/>
      <c r="C178" s="14" t="n"/>
      <c r="D178" s="14" t="n"/>
      <c r="E178" s="14" t="n"/>
      <c r="F178" s="15" t="n"/>
      <c r="G178" s="11" t="n"/>
      <c r="H178" s="11" t="n"/>
      <c r="I178" s="11" t="n"/>
      <c r="J178" s="11" t="n"/>
      <c r="K178" s="11" t="n"/>
      <c r="L178" s="11" t="n"/>
      <c r="M178" s="16" t="n"/>
      <c r="N178" s="11" t="n"/>
      <c r="O178" s="11" t="n"/>
    </row>
    <row r="179">
      <c r="A179" s="14" t="n"/>
      <c r="B179" s="14" t="n"/>
      <c r="C179" s="14" t="n"/>
      <c r="D179" s="14" t="n"/>
      <c r="E179" s="14" t="n"/>
      <c r="F179" s="15" t="n"/>
      <c r="G179" s="11" t="n"/>
      <c r="H179" s="11" t="n"/>
      <c r="I179" s="11" t="n"/>
      <c r="J179" s="11" t="n"/>
      <c r="K179" s="11" t="n"/>
      <c r="L179" s="11" t="n"/>
      <c r="M179" s="16" t="n"/>
      <c r="N179" s="11" t="n"/>
      <c r="O179" s="11" t="n"/>
    </row>
    <row r="180">
      <c r="A180" s="14" t="n"/>
      <c r="B180" s="14" t="n"/>
      <c r="C180" s="14" t="n"/>
      <c r="D180" s="14" t="n"/>
      <c r="E180" s="14" t="n"/>
      <c r="F180" s="15" t="n"/>
      <c r="G180" s="11" t="n"/>
      <c r="H180" s="11" t="n"/>
      <c r="I180" s="11" t="n"/>
      <c r="J180" s="11" t="n"/>
      <c r="K180" s="11" t="n"/>
      <c r="L180" s="11" t="n"/>
      <c r="M180" s="16" t="n"/>
      <c r="N180" s="11" t="n"/>
      <c r="O180" s="11" t="n"/>
    </row>
    <row r="181">
      <c r="A181" s="14" t="n"/>
      <c r="B181" s="14" t="n"/>
      <c r="C181" s="14" t="n"/>
      <c r="D181" s="14" t="n"/>
      <c r="E181" s="14" t="n"/>
      <c r="F181" s="15" t="n"/>
      <c r="G181" s="11" t="n"/>
      <c r="H181" s="11" t="n"/>
      <c r="I181" s="11" t="n"/>
      <c r="J181" s="11" t="n"/>
      <c r="K181" s="11" t="n"/>
      <c r="L181" s="11" t="n"/>
      <c r="M181" s="16" t="n"/>
      <c r="N181" s="11" t="n"/>
      <c r="O181" s="11" t="n"/>
    </row>
    <row r="182">
      <c r="A182" s="14" t="n"/>
      <c r="B182" s="14" t="n"/>
      <c r="C182" s="14" t="n"/>
      <c r="D182" s="14" t="n"/>
      <c r="E182" s="14" t="n"/>
      <c r="F182" s="15" t="n"/>
      <c r="G182" s="11" t="n"/>
      <c r="H182" s="11" t="n"/>
      <c r="I182" s="11" t="n"/>
      <c r="J182" s="11" t="n"/>
      <c r="K182" s="11" t="n"/>
      <c r="L182" s="11" t="n"/>
      <c r="M182" s="16" t="n"/>
      <c r="N182" s="11" t="n"/>
      <c r="O182" s="11" t="n"/>
    </row>
    <row r="183">
      <c r="A183" s="14" t="n"/>
      <c r="B183" s="14" t="n"/>
      <c r="C183" s="14" t="n"/>
      <c r="D183" s="14" t="n"/>
      <c r="E183" s="14" t="n"/>
      <c r="F183" s="15" t="n"/>
      <c r="G183" s="11" t="n"/>
      <c r="H183" s="11" t="n"/>
      <c r="I183" s="11" t="n"/>
      <c r="J183" s="11" t="n"/>
      <c r="K183" s="11" t="n"/>
      <c r="L183" s="11" t="n"/>
      <c r="M183" s="16" t="n"/>
      <c r="N183" s="11" t="n"/>
      <c r="O183" s="11" t="n"/>
    </row>
    <row r="184">
      <c r="A184" s="14" t="n"/>
      <c r="B184" s="14" t="n"/>
      <c r="C184" s="14" t="n"/>
      <c r="D184" s="14" t="n"/>
      <c r="E184" s="14" t="n"/>
      <c r="F184" s="15" t="n"/>
      <c r="G184" s="11" t="n"/>
      <c r="H184" s="11" t="n"/>
      <c r="I184" s="11" t="n"/>
      <c r="J184" s="11" t="n"/>
      <c r="K184" s="11" t="n"/>
      <c r="L184" s="11" t="n"/>
      <c r="M184" s="16" t="n"/>
      <c r="N184" s="11" t="n"/>
      <c r="O184" s="11" t="n"/>
    </row>
    <row r="185">
      <c r="A185" s="14" t="n"/>
      <c r="B185" s="14" t="n"/>
      <c r="C185" s="14" t="n"/>
      <c r="D185" s="14" t="n"/>
      <c r="E185" s="14" t="n"/>
      <c r="F185" s="15" t="n"/>
      <c r="G185" s="11" t="n"/>
      <c r="H185" s="11" t="n"/>
      <c r="I185" s="11" t="n"/>
      <c r="J185" s="11" t="n"/>
      <c r="K185" s="11" t="n"/>
      <c r="L185" s="11" t="n"/>
      <c r="M185" s="16" t="n"/>
      <c r="N185" s="11" t="n"/>
      <c r="O185" s="11" t="n"/>
    </row>
    <row r="186">
      <c r="A186" s="14" t="n"/>
      <c r="B186" s="14" t="n"/>
      <c r="C186" s="14" t="n"/>
      <c r="D186" s="14" t="n"/>
      <c r="E186" s="14" t="n"/>
      <c r="F186" s="15" t="n"/>
      <c r="G186" s="11" t="n"/>
      <c r="H186" s="11" t="n"/>
      <c r="I186" s="11" t="n"/>
      <c r="J186" s="11" t="n"/>
      <c r="K186" s="11" t="n"/>
      <c r="L186" s="11" t="n"/>
      <c r="M186" s="16" t="n"/>
      <c r="N186" s="11" t="n"/>
      <c r="O186" s="11" t="n"/>
    </row>
    <row r="187">
      <c r="A187" s="14" t="n"/>
      <c r="B187" s="14" t="n"/>
      <c r="C187" s="14" t="n"/>
      <c r="D187" s="14" t="n"/>
      <c r="E187" s="14" t="n"/>
      <c r="F187" s="15" t="n"/>
      <c r="G187" s="11" t="n"/>
      <c r="H187" s="11" t="n"/>
      <c r="I187" s="11" t="n"/>
      <c r="J187" s="11" t="n"/>
      <c r="K187" s="11" t="n"/>
      <c r="L187" s="11" t="n"/>
      <c r="M187" s="16" t="n"/>
      <c r="N187" s="11" t="n"/>
      <c r="O187" s="11" t="n"/>
    </row>
    <row r="188">
      <c r="A188" s="14" t="n"/>
      <c r="B188" s="14" t="n"/>
      <c r="C188" s="14" t="n"/>
      <c r="D188" s="14" t="n"/>
      <c r="E188" s="14" t="n"/>
      <c r="F188" s="15" t="n"/>
      <c r="G188" s="11" t="n"/>
      <c r="H188" s="11" t="n"/>
      <c r="I188" s="11" t="n"/>
      <c r="J188" s="11" t="n"/>
      <c r="K188" s="11" t="n"/>
      <c r="L188" s="11" t="n"/>
      <c r="M188" s="16" t="n"/>
      <c r="N188" s="11" t="n"/>
      <c r="O188" s="11" t="n"/>
    </row>
    <row r="189">
      <c r="A189" s="14" t="n"/>
      <c r="B189" s="14" t="n"/>
      <c r="C189" s="14" t="n"/>
      <c r="D189" s="14" t="n"/>
      <c r="E189" s="14" t="n"/>
      <c r="F189" s="15" t="n"/>
      <c r="G189" s="11" t="n"/>
      <c r="H189" s="11" t="n"/>
      <c r="I189" s="11" t="n"/>
      <c r="J189" s="11" t="n"/>
      <c r="K189" s="11" t="n"/>
      <c r="L189" s="11" t="n"/>
      <c r="M189" s="16" t="n"/>
      <c r="N189" s="11" t="n"/>
      <c r="O189" s="11" t="n"/>
    </row>
    <row r="190">
      <c r="A190" s="14" t="n"/>
      <c r="B190" s="14" t="n"/>
      <c r="C190" s="14" t="n"/>
      <c r="D190" s="14" t="n"/>
      <c r="E190" s="14" t="n"/>
      <c r="F190" s="15" t="n"/>
      <c r="G190" s="11" t="n"/>
      <c r="H190" s="11" t="n"/>
      <c r="I190" s="11" t="n"/>
      <c r="J190" s="11" t="n"/>
      <c r="K190" s="11" t="n"/>
      <c r="L190" s="11" t="n"/>
      <c r="M190" s="16" t="n"/>
      <c r="N190" s="11" t="n"/>
      <c r="O190" s="11" t="n"/>
    </row>
    <row r="191">
      <c r="A191" s="14" t="n"/>
      <c r="B191" s="14" t="n"/>
      <c r="C191" s="14" t="n"/>
      <c r="D191" s="14" t="n"/>
      <c r="E191" s="14" t="n"/>
      <c r="F191" s="15" t="n"/>
      <c r="G191" s="11" t="n"/>
      <c r="H191" s="11" t="n"/>
      <c r="I191" s="11" t="n"/>
      <c r="J191" s="11" t="n"/>
      <c r="K191" s="11" t="n"/>
      <c r="L191" s="11" t="n"/>
      <c r="M191" s="16" t="n"/>
      <c r="N191" s="11" t="n"/>
      <c r="O191" s="11" t="n"/>
    </row>
    <row r="192">
      <c r="A192" s="14" t="n"/>
      <c r="B192" s="14" t="n"/>
      <c r="C192" s="14" t="n"/>
      <c r="D192" s="14" t="n"/>
      <c r="E192" s="14" t="n"/>
      <c r="F192" s="15" t="n"/>
      <c r="G192" s="11" t="n"/>
      <c r="H192" s="11" t="n"/>
      <c r="I192" s="11" t="n"/>
      <c r="J192" s="11" t="n"/>
      <c r="K192" s="11" t="n"/>
      <c r="L192" s="11" t="n"/>
      <c r="M192" s="16" t="n"/>
      <c r="N192" s="11" t="n"/>
      <c r="O192" s="11" t="n"/>
    </row>
    <row r="193">
      <c r="A193" s="14" t="n"/>
      <c r="B193" s="14" t="n"/>
      <c r="C193" s="14" t="n"/>
      <c r="D193" s="14" t="n"/>
      <c r="E193" s="14" t="n"/>
      <c r="F193" s="15" t="n"/>
      <c r="G193" s="11" t="n"/>
      <c r="H193" s="11" t="n"/>
      <c r="I193" s="11" t="n"/>
      <c r="J193" s="11" t="n"/>
      <c r="K193" s="11" t="n"/>
      <c r="L193" s="11" t="n"/>
      <c r="M193" s="16" t="n"/>
      <c r="N193" s="11" t="n"/>
      <c r="O193" s="11" t="n"/>
    </row>
    <row r="194">
      <c r="A194" s="14" t="n"/>
      <c r="B194" s="14" t="n"/>
      <c r="C194" s="14" t="n"/>
      <c r="D194" s="14" t="n"/>
      <c r="E194" s="14" t="n"/>
      <c r="F194" s="15" t="n"/>
      <c r="G194" s="11" t="n"/>
      <c r="H194" s="11" t="n"/>
      <c r="I194" s="11" t="n"/>
      <c r="J194" s="11" t="n"/>
      <c r="K194" s="11" t="n"/>
      <c r="L194" s="11" t="n"/>
      <c r="M194" s="16" t="n"/>
      <c r="N194" s="11" t="n"/>
      <c r="O194" s="11" t="n"/>
    </row>
    <row r="195">
      <c r="A195" s="14" t="n"/>
      <c r="B195" s="14" t="n"/>
      <c r="C195" s="14" t="n"/>
      <c r="D195" s="14" t="n"/>
      <c r="E195" s="14" t="n"/>
      <c r="F195" s="15" t="n"/>
      <c r="G195" s="11" t="n"/>
      <c r="H195" s="11" t="n"/>
      <c r="I195" s="11" t="n"/>
      <c r="J195" s="11" t="n"/>
      <c r="K195" s="11" t="n"/>
      <c r="L195" s="11" t="n"/>
      <c r="M195" s="16" t="n"/>
      <c r="N195" s="11" t="n"/>
      <c r="O195" s="11" t="n"/>
    </row>
    <row r="196">
      <c r="A196" s="14" t="n"/>
      <c r="B196" s="14" t="n"/>
      <c r="C196" s="14" t="n"/>
      <c r="D196" s="14" t="n"/>
      <c r="E196" s="14" t="n"/>
      <c r="F196" s="15" t="n"/>
      <c r="G196" s="11" t="n"/>
      <c r="H196" s="11" t="n"/>
      <c r="I196" s="11" t="n"/>
      <c r="J196" s="11" t="n"/>
      <c r="K196" s="11" t="n"/>
      <c r="L196" s="11" t="n"/>
      <c r="M196" s="16" t="n"/>
      <c r="N196" s="11" t="n"/>
      <c r="O196" s="11" t="n"/>
    </row>
    <row r="197">
      <c r="A197" s="14" t="n"/>
      <c r="B197" s="14" t="n"/>
      <c r="C197" s="14" t="n"/>
      <c r="D197" s="14" t="n"/>
      <c r="E197" s="14" t="n"/>
      <c r="F197" s="15" t="n"/>
      <c r="G197" s="11" t="n"/>
      <c r="H197" s="11" t="n"/>
      <c r="I197" s="11" t="n"/>
      <c r="J197" s="11" t="n"/>
      <c r="K197" s="11" t="n"/>
      <c r="L197" s="11" t="n"/>
      <c r="M197" s="16" t="n"/>
      <c r="N197" s="11" t="n"/>
      <c r="O197" s="11" t="n"/>
    </row>
    <row r="198">
      <c r="A198" s="14" t="n"/>
      <c r="B198" s="14" t="n"/>
      <c r="C198" s="14" t="n"/>
      <c r="D198" s="14" t="n"/>
      <c r="E198" s="14" t="n"/>
      <c r="F198" s="15" t="n"/>
      <c r="G198" s="11" t="n"/>
      <c r="H198" s="11" t="n"/>
      <c r="I198" s="11" t="n"/>
      <c r="J198" s="11" t="n"/>
      <c r="K198" s="11" t="n"/>
      <c r="L198" s="11" t="n"/>
      <c r="M198" s="16" t="n"/>
      <c r="N198" s="11" t="n"/>
      <c r="O198" s="11" t="n"/>
    </row>
    <row r="199">
      <c r="A199" s="14" t="n"/>
      <c r="B199" s="14" t="n"/>
      <c r="C199" s="14" t="n"/>
      <c r="D199" s="14" t="n"/>
      <c r="E199" s="14" t="n"/>
      <c r="F199" s="15" t="n"/>
      <c r="G199" s="11" t="n"/>
      <c r="H199" s="11" t="n"/>
      <c r="I199" s="11" t="n"/>
      <c r="J199" s="11" t="n"/>
      <c r="K199" s="11" t="n"/>
      <c r="L199" s="11" t="n"/>
      <c r="M199" s="16" t="n"/>
      <c r="N199" s="11" t="n"/>
      <c r="O199" s="11" t="n"/>
    </row>
  </sheetData>
  <mergeCells count="1">
    <mergeCell ref="A1:K1"/>
  </mergeCells>
  <conditionalFormatting sqref="N4:N200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2" customWidth="1" min="16" max="16"/>
    <col width="8" customWidth="1" min="17" max="17"/>
    <col width="18" customWidth="1" min="18" max="18"/>
    <col width="26" customWidth="1" min="19" max="19"/>
  </cols>
  <sheetData>
    <row r="1" ht="28" customHeight="1">
      <c r="A1" s="1" t="inlineStr">
        <is>
          <t>PRIORITIZATION — WSJF / RICE + Decision Queue</t>
        </is>
      </c>
    </row>
    <row r="3" ht="20" customHeight="1">
      <c r="A3" s="4" t="inlineStr">
        <is>
          <t>Initiative_ID</t>
        </is>
      </c>
      <c r="B3" s="4" t="inlineStr">
        <is>
          <t>Name</t>
        </is>
      </c>
      <c r="C3" s="4" t="inlineStr">
        <is>
          <t>Domain</t>
        </is>
      </c>
      <c r="D3" s="4" t="inlineStr">
        <is>
          <t>Owner</t>
        </is>
      </c>
      <c r="E3" s="4" t="inlineStr">
        <is>
          <t>Status</t>
        </is>
      </c>
      <c r="F3" s="4" t="inlineStr">
        <is>
          <t>Impact</t>
        </is>
      </c>
      <c r="G3" s="4" t="inlineStr">
        <is>
          <t>Confidence</t>
        </is>
      </c>
      <c r="H3" s="4" t="inlineStr">
        <is>
          <t>Effort</t>
        </is>
      </c>
      <c r="I3" s="4" t="inlineStr">
        <is>
          <t>RICE</t>
        </is>
      </c>
      <c r="J3" s="4" t="inlineStr">
        <is>
          <t>BV</t>
        </is>
      </c>
      <c r="K3" s="4" t="inlineStr">
        <is>
          <t>TC</t>
        </is>
      </c>
      <c r="L3" s="4" t="inlineStr">
        <is>
          <t>RR</t>
        </is>
      </c>
      <c r="M3" s="4" t="inlineStr">
        <is>
          <t>JS</t>
        </is>
      </c>
      <c r="N3" s="4" t="inlineStr">
        <is>
          <t>WSJF</t>
        </is>
      </c>
      <c r="O3" s="4" t="inlineStr">
        <is>
          <t>Risk_Score</t>
        </is>
      </c>
      <c r="P3" s="4" t="inlineStr">
        <is>
          <t>Priority_Score</t>
        </is>
      </c>
      <c r="Q3" s="4" t="inlineStr">
        <is>
          <t>Rank</t>
        </is>
      </c>
      <c r="R3" s="4" t="inlineStr">
        <is>
          <t>Decision_Required</t>
        </is>
      </c>
      <c r="S3" s="4" t="inlineStr">
        <is>
          <t>Next_Action</t>
        </is>
      </c>
    </row>
    <row r="4">
      <c r="A4" s="5">
        <f>IFERROR(NORMALIZED!A4,"")</f>
        <v/>
      </c>
      <c r="B4" s="5">
        <f>IF(A4="","",NORMALIZED!B4)</f>
        <v/>
      </c>
      <c r="C4" s="5">
        <f>IF(A4="","",NORMALIZED!C4)</f>
        <v/>
      </c>
      <c r="D4" s="5">
        <f>IF(A4="","",NORMALIZED!F4)</f>
        <v/>
      </c>
      <c r="E4" s="5">
        <f>IF(A4="","",NORMALIZED!E4)</f>
        <v/>
      </c>
      <c r="F4" s="5">
        <f>IF(A4="","",NORMALIZED!J4)</f>
        <v/>
      </c>
      <c r="G4" s="17">
        <f>IF(A4="","",NORMALIZED!K4)</f>
        <v/>
      </c>
      <c r="H4" s="5">
        <f>IF(A4="","",NORMALIZED!L4)</f>
        <v/>
      </c>
      <c r="I4" s="5">
        <f>IF(A4="","",(F4*G4)/MAX(1,H4))</f>
        <v/>
      </c>
      <c r="J4" s="5">
        <f>IF(A4="","",NORMALIZED!M4)</f>
        <v/>
      </c>
      <c r="K4" s="5">
        <f>IF(A4="","",NORMALIZED!N4)</f>
        <v/>
      </c>
      <c r="L4" s="5">
        <f>IF(A4="","",NORMALIZED!O4)</f>
        <v/>
      </c>
      <c r="M4" s="5">
        <f>IF(A4="","",NORMALIZED!P4)</f>
        <v/>
      </c>
      <c r="N4" s="5">
        <f>IF(A4="","",(J4+K4+L4)/MAX(1,M4))</f>
        <v/>
      </c>
      <c r="O4" s="5">
        <f>IF(A4="","",RISK_ENGINE!M4)</f>
        <v/>
      </c>
      <c r="P4" s="5">
        <f>IF(A4="","",(60*I4)+(40*N4)-(0.5*O4))</f>
        <v/>
      </c>
      <c r="Q4" s="5">
        <f>IF(A4="","",RANK.EQ(P4,$P$4:$P$200,0))</f>
        <v/>
      </c>
      <c r="R4" s="5">
        <f>IF(A4="","",NORMALIZED!Q4)</f>
        <v/>
      </c>
      <c r="S4" s="5">
        <f>IF(A4="","","Owner: "&amp;D4&amp;" | "&amp;NORMALIZED!T4)</f>
        <v/>
      </c>
    </row>
    <row r="5">
      <c r="A5" s="5">
        <f>IFERROR(NORMALIZED!A5,"")</f>
        <v/>
      </c>
      <c r="B5" s="5">
        <f>IF(A5="","",NORMALIZED!B5)</f>
        <v/>
      </c>
      <c r="C5" s="5">
        <f>IF(A5="","",NORMALIZED!C5)</f>
        <v/>
      </c>
      <c r="D5" s="5">
        <f>IF(A5="","",NORMALIZED!F5)</f>
        <v/>
      </c>
      <c r="E5" s="5">
        <f>IF(A5="","",NORMALIZED!E5)</f>
        <v/>
      </c>
      <c r="F5" s="5">
        <f>IF(A5="","",NORMALIZED!J5)</f>
        <v/>
      </c>
      <c r="G5" s="17">
        <f>IF(A5="","",NORMALIZED!K5)</f>
        <v/>
      </c>
      <c r="H5" s="5">
        <f>IF(A5="","",NORMALIZED!L5)</f>
        <v/>
      </c>
      <c r="I5" s="5">
        <f>IF(A5="","",(F5*G5)/MAX(1,H5))</f>
        <v/>
      </c>
      <c r="J5" s="5">
        <f>IF(A5="","",NORMALIZED!M5)</f>
        <v/>
      </c>
      <c r="K5" s="5">
        <f>IF(A5="","",NORMALIZED!N5)</f>
        <v/>
      </c>
      <c r="L5" s="5">
        <f>IF(A5="","",NORMALIZED!O5)</f>
        <v/>
      </c>
      <c r="M5" s="5">
        <f>IF(A5="","",NORMALIZED!P5)</f>
        <v/>
      </c>
      <c r="N5" s="5">
        <f>IF(A5="","",(J5+K5+L5)/MAX(1,M5))</f>
        <v/>
      </c>
      <c r="O5" s="5">
        <f>IF(A5="","",RISK_ENGINE!M5)</f>
        <v/>
      </c>
      <c r="P5" s="5">
        <f>IF(A5="","",(60*I5)+(40*N5)-(0.5*O5))</f>
        <v/>
      </c>
      <c r="Q5" s="5">
        <f>IF(A5="","",RANK.EQ(P5,$P$4:$P$200,0))</f>
        <v/>
      </c>
      <c r="R5" s="5">
        <f>IF(A5="","",NORMALIZED!Q5)</f>
        <v/>
      </c>
      <c r="S5" s="5">
        <f>IF(A5="","","Owner: "&amp;D5&amp;" | "&amp;NORMALIZED!T5)</f>
        <v/>
      </c>
    </row>
    <row r="6">
      <c r="A6" s="5">
        <f>IFERROR(NORMALIZED!A6,"")</f>
        <v/>
      </c>
      <c r="B6" s="5">
        <f>IF(A6="","",NORMALIZED!B6)</f>
        <v/>
      </c>
      <c r="C6" s="5">
        <f>IF(A6="","",NORMALIZED!C6)</f>
        <v/>
      </c>
      <c r="D6" s="5">
        <f>IF(A6="","",NORMALIZED!F6)</f>
        <v/>
      </c>
      <c r="E6" s="5">
        <f>IF(A6="","",NORMALIZED!E6)</f>
        <v/>
      </c>
      <c r="F6" s="5">
        <f>IF(A6="","",NORMALIZED!J6)</f>
        <v/>
      </c>
      <c r="G6" s="17">
        <f>IF(A6="","",NORMALIZED!K6)</f>
        <v/>
      </c>
      <c r="H6" s="5">
        <f>IF(A6="","",NORMALIZED!L6)</f>
        <v/>
      </c>
      <c r="I6" s="5">
        <f>IF(A6="","",(F6*G6)/MAX(1,H6))</f>
        <v/>
      </c>
      <c r="J6" s="5">
        <f>IF(A6="","",NORMALIZED!M6)</f>
        <v/>
      </c>
      <c r="K6" s="5">
        <f>IF(A6="","",NORMALIZED!N6)</f>
        <v/>
      </c>
      <c r="L6" s="5">
        <f>IF(A6="","",NORMALIZED!O6)</f>
        <v/>
      </c>
      <c r="M6" s="5">
        <f>IF(A6="","",NORMALIZED!P6)</f>
        <v/>
      </c>
      <c r="N6" s="5">
        <f>IF(A6="","",(J6+K6+L6)/MAX(1,M6))</f>
        <v/>
      </c>
      <c r="O6" s="5">
        <f>IF(A6="","",RISK_ENGINE!M6)</f>
        <v/>
      </c>
      <c r="P6" s="5">
        <f>IF(A6="","",(60*I6)+(40*N6)-(0.5*O6))</f>
        <v/>
      </c>
      <c r="Q6" s="5">
        <f>IF(A6="","",RANK.EQ(P6,$P$4:$P$200,0))</f>
        <v/>
      </c>
      <c r="R6" s="5">
        <f>IF(A6="","",NORMALIZED!Q6)</f>
        <v/>
      </c>
      <c r="S6" s="5">
        <f>IF(A6="","","Owner: "&amp;D6&amp;" | "&amp;NORMALIZED!T6)</f>
        <v/>
      </c>
    </row>
    <row r="7">
      <c r="A7" s="5">
        <f>IFERROR(NORMALIZED!A7,"")</f>
        <v/>
      </c>
      <c r="B7" s="5">
        <f>IF(A7="","",NORMALIZED!B7)</f>
        <v/>
      </c>
      <c r="C7" s="5">
        <f>IF(A7="","",NORMALIZED!C7)</f>
        <v/>
      </c>
      <c r="D7" s="5">
        <f>IF(A7="","",NORMALIZED!F7)</f>
        <v/>
      </c>
      <c r="E7" s="5">
        <f>IF(A7="","",NORMALIZED!E7)</f>
        <v/>
      </c>
      <c r="F7" s="5">
        <f>IF(A7="","",NORMALIZED!J7)</f>
        <v/>
      </c>
      <c r="G7" s="17">
        <f>IF(A7="","",NORMALIZED!K7)</f>
        <v/>
      </c>
      <c r="H7" s="5">
        <f>IF(A7="","",NORMALIZED!L7)</f>
        <v/>
      </c>
      <c r="I7" s="5">
        <f>IF(A7="","",(F7*G7)/MAX(1,H7))</f>
        <v/>
      </c>
      <c r="J7" s="5">
        <f>IF(A7="","",NORMALIZED!M7)</f>
        <v/>
      </c>
      <c r="K7" s="5">
        <f>IF(A7="","",NORMALIZED!N7)</f>
        <v/>
      </c>
      <c r="L7" s="5">
        <f>IF(A7="","",NORMALIZED!O7)</f>
        <v/>
      </c>
      <c r="M7" s="5">
        <f>IF(A7="","",NORMALIZED!P7)</f>
        <v/>
      </c>
      <c r="N7" s="5">
        <f>IF(A7="","",(J7+K7+L7)/MAX(1,M7))</f>
        <v/>
      </c>
      <c r="O7" s="5">
        <f>IF(A7="","",RISK_ENGINE!M7)</f>
        <v/>
      </c>
      <c r="P7" s="5">
        <f>IF(A7="","",(60*I7)+(40*N7)-(0.5*O7))</f>
        <v/>
      </c>
      <c r="Q7" s="5">
        <f>IF(A7="","",RANK.EQ(P7,$P$4:$P$200,0))</f>
        <v/>
      </c>
      <c r="R7" s="5">
        <f>IF(A7="","",NORMALIZED!Q7)</f>
        <v/>
      </c>
      <c r="S7" s="5">
        <f>IF(A7="","","Owner: "&amp;D7&amp;" | "&amp;NORMALIZED!T7)</f>
        <v/>
      </c>
    </row>
    <row r="8">
      <c r="A8" s="5">
        <f>IFERROR(NORMALIZED!A8,"")</f>
        <v/>
      </c>
      <c r="B8" s="5">
        <f>IF(A8="","",NORMALIZED!B8)</f>
        <v/>
      </c>
      <c r="C8" s="5">
        <f>IF(A8="","",NORMALIZED!C8)</f>
        <v/>
      </c>
      <c r="D8" s="5">
        <f>IF(A8="","",NORMALIZED!F8)</f>
        <v/>
      </c>
      <c r="E8" s="5">
        <f>IF(A8="","",NORMALIZED!E8)</f>
        <v/>
      </c>
      <c r="F8" s="5">
        <f>IF(A8="","",NORMALIZED!J8)</f>
        <v/>
      </c>
      <c r="G8" s="17">
        <f>IF(A8="","",NORMALIZED!K8)</f>
        <v/>
      </c>
      <c r="H8" s="5">
        <f>IF(A8="","",NORMALIZED!L8)</f>
        <v/>
      </c>
      <c r="I8" s="5">
        <f>IF(A8="","",(F8*G8)/MAX(1,H8))</f>
        <v/>
      </c>
      <c r="J8" s="5">
        <f>IF(A8="","",NORMALIZED!M8)</f>
        <v/>
      </c>
      <c r="K8" s="5">
        <f>IF(A8="","",NORMALIZED!N8)</f>
        <v/>
      </c>
      <c r="L8" s="5">
        <f>IF(A8="","",NORMALIZED!O8)</f>
        <v/>
      </c>
      <c r="M8" s="5">
        <f>IF(A8="","",NORMALIZED!P8)</f>
        <v/>
      </c>
      <c r="N8" s="5">
        <f>IF(A8="","",(J8+K8+L8)/MAX(1,M8))</f>
        <v/>
      </c>
      <c r="O8" s="5">
        <f>IF(A8="","",RISK_ENGINE!M8)</f>
        <v/>
      </c>
      <c r="P8" s="5">
        <f>IF(A8="","",(60*I8)+(40*N8)-(0.5*O8))</f>
        <v/>
      </c>
      <c r="Q8" s="5">
        <f>IF(A8="","",RANK.EQ(P8,$P$4:$P$200,0))</f>
        <v/>
      </c>
      <c r="R8" s="5">
        <f>IF(A8="","",NORMALIZED!Q8)</f>
        <v/>
      </c>
      <c r="S8" s="5">
        <f>IF(A8="","","Owner: "&amp;D8&amp;" | "&amp;NORMALIZED!T8)</f>
        <v/>
      </c>
    </row>
    <row r="9">
      <c r="A9" s="5">
        <f>IFERROR(NORMALIZED!A9,"")</f>
        <v/>
      </c>
      <c r="B9" s="5">
        <f>IF(A9="","",NORMALIZED!B9)</f>
        <v/>
      </c>
      <c r="C9" s="5">
        <f>IF(A9="","",NORMALIZED!C9)</f>
        <v/>
      </c>
      <c r="D9" s="5">
        <f>IF(A9="","",NORMALIZED!F9)</f>
        <v/>
      </c>
      <c r="E9" s="5">
        <f>IF(A9="","",NORMALIZED!E9)</f>
        <v/>
      </c>
      <c r="F9" s="5">
        <f>IF(A9="","",NORMALIZED!J9)</f>
        <v/>
      </c>
      <c r="G9" s="17">
        <f>IF(A9="","",NORMALIZED!K9)</f>
        <v/>
      </c>
      <c r="H9" s="5">
        <f>IF(A9="","",NORMALIZED!L9)</f>
        <v/>
      </c>
      <c r="I9" s="5">
        <f>IF(A9="","",(F9*G9)/MAX(1,H9))</f>
        <v/>
      </c>
      <c r="J9" s="5">
        <f>IF(A9="","",NORMALIZED!M9)</f>
        <v/>
      </c>
      <c r="K9" s="5">
        <f>IF(A9="","",NORMALIZED!N9)</f>
        <v/>
      </c>
      <c r="L9" s="5">
        <f>IF(A9="","",NORMALIZED!O9)</f>
        <v/>
      </c>
      <c r="M9" s="5">
        <f>IF(A9="","",NORMALIZED!P9)</f>
        <v/>
      </c>
      <c r="N9" s="5">
        <f>IF(A9="","",(J9+K9+L9)/MAX(1,M9))</f>
        <v/>
      </c>
      <c r="O9" s="5">
        <f>IF(A9="","",RISK_ENGINE!M9)</f>
        <v/>
      </c>
      <c r="P9" s="5">
        <f>IF(A9="","",(60*I9)+(40*N9)-(0.5*O9))</f>
        <v/>
      </c>
      <c r="Q9" s="5">
        <f>IF(A9="","",RANK.EQ(P9,$P$4:$P$200,0))</f>
        <v/>
      </c>
      <c r="R9" s="5">
        <f>IF(A9="","",NORMALIZED!Q9)</f>
        <v/>
      </c>
      <c r="S9" s="5">
        <f>IF(A9="","","Owner: "&amp;D9&amp;" | "&amp;NORMALIZED!T9)</f>
        <v/>
      </c>
    </row>
    <row r="10">
      <c r="A10" s="5">
        <f>IFERROR(NORMALIZED!A10,"")</f>
        <v/>
      </c>
      <c r="B10" s="5">
        <f>IF(A10="","",NORMALIZED!B10)</f>
        <v/>
      </c>
      <c r="C10" s="5">
        <f>IF(A10="","",NORMALIZED!C10)</f>
        <v/>
      </c>
      <c r="D10" s="5">
        <f>IF(A10="","",NORMALIZED!F10)</f>
        <v/>
      </c>
      <c r="E10" s="5">
        <f>IF(A10="","",NORMALIZED!E10)</f>
        <v/>
      </c>
      <c r="F10" s="5">
        <f>IF(A10="","",NORMALIZED!J10)</f>
        <v/>
      </c>
      <c r="G10" s="17">
        <f>IF(A10="","",NORMALIZED!K10)</f>
        <v/>
      </c>
      <c r="H10" s="5">
        <f>IF(A10="","",NORMALIZED!L10)</f>
        <v/>
      </c>
      <c r="I10" s="5">
        <f>IF(A10="","",(F10*G10)/MAX(1,H10))</f>
        <v/>
      </c>
      <c r="J10" s="5">
        <f>IF(A10="","",NORMALIZED!M10)</f>
        <v/>
      </c>
      <c r="K10" s="5">
        <f>IF(A10="","",NORMALIZED!N10)</f>
        <v/>
      </c>
      <c r="L10" s="5">
        <f>IF(A10="","",NORMALIZED!O10)</f>
        <v/>
      </c>
      <c r="M10" s="5">
        <f>IF(A10="","",NORMALIZED!P10)</f>
        <v/>
      </c>
      <c r="N10" s="5">
        <f>IF(A10="","",(J10+K10+L10)/MAX(1,M10))</f>
        <v/>
      </c>
      <c r="O10" s="5">
        <f>IF(A10="","",RISK_ENGINE!M10)</f>
        <v/>
      </c>
      <c r="P10" s="5">
        <f>IF(A10="","",(60*I10)+(40*N10)-(0.5*O10))</f>
        <v/>
      </c>
      <c r="Q10" s="5">
        <f>IF(A10="","",RANK.EQ(P10,$P$4:$P$200,0))</f>
        <v/>
      </c>
      <c r="R10" s="5">
        <f>IF(A10="","",NORMALIZED!Q10)</f>
        <v/>
      </c>
      <c r="S10" s="5">
        <f>IF(A10="","","Owner: "&amp;D10&amp;" | "&amp;NORMALIZED!T10)</f>
        <v/>
      </c>
    </row>
    <row r="11">
      <c r="A11" s="5">
        <f>IFERROR(NORMALIZED!A11,"")</f>
        <v/>
      </c>
      <c r="B11" s="5">
        <f>IF(A11="","",NORMALIZED!B11)</f>
        <v/>
      </c>
      <c r="C11" s="5">
        <f>IF(A11="","",NORMALIZED!C11)</f>
        <v/>
      </c>
      <c r="D11" s="5">
        <f>IF(A11="","",NORMALIZED!F11)</f>
        <v/>
      </c>
      <c r="E11" s="5">
        <f>IF(A11="","",NORMALIZED!E11)</f>
        <v/>
      </c>
      <c r="F11" s="5">
        <f>IF(A11="","",NORMALIZED!J11)</f>
        <v/>
      </c>
      <c r="G11" s="17">
        <f>IF(A11="","",NORMALIZED!K11)</f>
        <v/>
      </c>
      <c r="H11" s="5">
        <f>IF(A11="","",NORMALIZED!L11)</f>
        <v/>
      </c>
      <c r="I11" s="5">
        <f>IF(A11="","",(F11*G11)/MAX(1,H11))</f>
        <v/>
      </c>
      <c r="J11" s="5">
        <f>IF(A11="","",NORMALIZED!M11)</f>
        <v/>
      </c>
      <c r="K11" s="5">
        <f>IF(A11="","",NORMALIZED!N11)</f>
        <v/>
      </c>
      <c r="L11" s="5">
        <f>IF(A11="","",NORMALIZED!O11)</f>
        <v/>
      </c>
      <c r="M11" s="5">
        <f>IF(A11="","",NORMALIZED!P11)</f>
        <v/>
      </c>
      <c r="N11" s="5">
        <f>IF(A11="","",(J11+K11+L11)/MAX(1,M11))</f>
        <v/>
      </c>
      <c r="O11" s="5">
        <f>IF(A11="","",RISK_ENGINE!M11)</f>
        <v/>
      </c>
      <c r="P11" s="5">
        <f>IF(A11="","",(60*I11)+(40*N11)-(0.5*O11))</f>
        <v/>
      </c>
      <c r="Q11" s="5">
        <f>IF(A11="","",RANK.EQ(P11,$P$4:$P$200,0))</f>
        <v/>
      </c>
      <c r="R11" s="5">
        <f>IF(A11="","",NORMALIZED!Q11)</f>
        <v/>
      </c>
      <c r="S11" s="5">
        <f>IF(A11="","","Owner: "&amp;D11&amp;" | "&amp;NORMALIZED!T11)</f>
        <v/>
      </c>
    </row>
    <row r="12">
      <c r="A12" s="5">
        <f>IFERROR(NORMALIZED!A12,"")</f>
        <v/>
      </c>
      <c r="B12" s="5">
        <f>IF(A12="","",NORMALIZED!B12)</f>
        <v/>
      </c>
      <c r="C12" s="5">
        <f>IF(A12="","",NORMALIZED!C12)</f>
        <v/>
      </c>
      <c r="D12" s="5">
        <f>IF(A12="","",NORMALIZED!F12)</f>
        <v/>
      </c>
      <c r="E12" s="5">
        <f>IF(A12="","",NORMALIZED!E12)</f>
        <v/>
      </c>
      <c r="F12" s="5">
        <f>IF(A12="","",NORMALIZED!J12)</f>
        <v/>
      </c>
      <c r="G12" s="17">
        <f>IF(A12="","",NORMALIZED!K12)</f>
        <v/>
      </c>
      <c r="H12" s="5">
        <f>IF(A12="","",NORMALIZED!L12)</f>
        <v/>
      </c>
      <c r="I12" s="5">
        <f>IF(A12="","",(F12*G12)/MAX(1,H12))</f>
        <v/>
      </c>
      <c r="J12" s="5">
        <f>IF(A12="","",NORMALIZED!M12)</f>
        <v/>
      </c>
      <c r="K12" s="5">
        <f>IF(A12="","",NORMALIZED!N12)</f>
        <v/>
      </c>
      <c r="L12" s="5">
        <f>IF(A12="","",NORMALIZED!O12)</f>
        <v/>
      </c>
      <c r="M12" s="5">
        <f>IF(A12="","",NORMALIZED!P12)</f>
        <v/>
      </c>
      <c r="N12" s="5">
        <f>IF(A12="","",(J12+K12+L12)/MAX(1,M12))</f>
        <v/>
      </c>
      <c r="O12" s="5">
        <f>IF(A12="","",RISK_ENGINE!M12)</f>
        <v/>
      </c>
      <c r="P12" s="5">
        <f>IF(A12="","",(60*I12)+(40*N12)-(0.5*O12))</f>
        <v/>
      </c>
      <c r="Q12" s="5">
        <f>IF(A12="","",RANK.EQ(P12,$P$4:$P$200,0))</f>
        <v/>
      </c>
      <c r="R12" s="5">
        <f>IF(A12="","",NORMALIZED!Q12)</f>
        <v/>
      </c>
      <c r="S12" s="5">
        <f>IF(A12="","","Owner: "&amp;D12&amp;" | "&amp;NORMALIZED!T12)</f>
        <v/>
      </c>
    </row>
    <row r="13">
      <c r="A13" s="5">
        <f>IFERROR(NORMALIZED!A13,"")</f>
        <v/>
      </c>
      <c r="B13" s="5">
        <f>IF(A13="","",NORMALIZED!B13)</f>
        <v/>
      </c>
      <c r="C13" s="5">
        <f>IF(A13="","",NORMALIZED!C13)</f>
        <v/>
      </c>
      <c r="D13" s="5">
        <f>IF(A13="","",NORMALIZED!F13)</f>
        <v/>
      </c>
      <c r="E13" s="5">
        <f>IF(A13="","",NORMALIZED!E13)</f>
        <v/>
      </c>
      <c r="F13" s="5">
        <f>IF(A13="","",NORMALIZED!J13)</f>
        <v/>
      </c>
      <c r="G13" s="17">
        <f>IF(A13="","",NORMALIZED!K13)</f>
        <v/>
      </c>
      <c r="H13" s="5">
        <f>IF(A13="","",NORMALIZED!L13)</f>
        <v/>
      </c>
      <c r="I13" s="5">
        <f>IF(A13="","",(F13*G13)/MAX(1,H13))</f>
        <v/>
      </c>
      <c r="J13" s="5">
        <f>IF(A13="","",NORMALIZED!M13)</f>
        <v/>
      </c>
      <c r="K13" s="5">
        <f>IF(A13="","",NORMALIZED!N13)</f>
        <v/>
      </c>
      <c r="L13" s="5">
        <f>IF(A13="","",NORMALIZED!O13)</f>
        <v/>
      </c>
      <c r="M13" s="5">
        <f>IF(A13="","",NORMALIZED!P13)</f>
        <v/>
      </c>
      <c r="N13" s="5">
        <f>IF(A13="","",(J13+K13+L13)/MAX(1,M13))</f>
        <v/>
      </c>
      <c r="O13" s="5">
        <f>IF(A13="","",RISK_ENGINE!M13)</f>
        <v/>
      </c>
      <c r="P13" s="5">
        <f>IF(A13="","",(60*I13)+(40*N13)-(0.5*O13))</f>
        <v/>
      </c>
      <c r="Q13" s="5">
        <f>IF(A13="","",RANK.EQ(P13,$P$4:$P$200,0))</f>
        <v/>
      </c>
      <c r="R13" s="5">
        <f>IF(A13="","",NORMALIZED!Q13)</f>
        <v/>
      </c>
      <c r="S13" s="5">
        <f>IF(A13="","","Owner: "&amp;D13&amp;" | "&amp;NORMALIZED!T13)</f>
        <v/>
      </c>
    </row>
    <row r="14">
      <c r="A14" s="5">
        <f>IFERROR(NORMALIZED!A14,"")</f>
        <v/>
      </c>
      <c r="B14" s="5">
        <f>IF(A14="","",NORMALIZED!B14)</f>
        <v/>
      </c>
      <c r="C14" s="5">
        <f>IF(A14="","",NORMALIZED!C14)</f>
        <v/>
      </c>
      <c r="D14" s="5">
        <f>IF(A14="","",NORMALIZED!F14)</f>
        <v/>
      </c>
      <c r="E14" s="5">
        <f>IF(A14="","",NORMALIZED!E14)</f>
        <v/>
      </c>
      <c r="F14" s="5">
        <f>IF(A14="","",NORMALIZED!J14)</f>
        <v/>
      </c>
      <c r="G14" s="17">
        <f>IF(A14="","",NORMALIZED!K14)</f>
        <v/>
      </c>
      <c r="H14" s="5">
        <f>IF(A14="","",NORMALIZED!L14)</f>
        <v/>
      </c>
      <c r="I14" s="5">
        <f>IF(A14="","",(F14*G14)/MAX(1,H14))</f>
        <v/>
      </c>
      <c r="J14" s="5">
        <f>IF(A14="","",NORMALIZED!M14)</f>
        <v/>
      </c>
      <c r="K14" s="5">
        <f>IF(A14="","",NORMALIZED!N14)</f>
        <v/>
      </c>
      <c r="L14" s="5">
        <f>IF(A14="","",NORMALIZED!O14)</f>
        <v/>
      </c>
      <c r="M14" s="5">
        <f>IF(A14="","",NORMALIZED!P14)</f>
        <v/>
      </c>
      <c r="N14" s="5">
        <f>IF(A14="","",(J14+K14+L14)/MAX(1,M14))</f>
        <v/>
      </c>
      <c r="O14" s="5">
        <f>IF(A14="","",RISK_ENGINE!M14)</f>
        <v/>
      </c>
      <c r="P14" s="5">
        <f>IF(A14="","",(60*I14)+(40*N14)-(0.5*O14))</f>
        <v/>
      </c>
      <c r="Q14" s="5">
        <f>IF(A14="","",RANK.EQ(P14,$P$4:$P$200,0))</f>
        <v/>
      </c>
      <c r="R14" s="5">
        <f>IF(A14="","",NORMALIZED!Q14)</f>
        <v/>
      </c>
      <c r="S14" s="5">
        <f>IF(A14="","","Owner: "&amp;D14&amp;" | "&amp;NORMALIZED!T14)</f>
        <v/>
      </c>
    </row>
    <row r="15">
      <c r="A15" s="5">
        <f>IFERROR(NORMALIZED!A15,"")</f>
        <v/>
      </c>
      <c r="B15" s="5">
        <f>IF(A15="","",NORMALIZED!B15)</f>
        <v/>
      </c>
      <c r="C15" s="5">
        <f>IF(A15="","",NORMALIZED!C15)</f>
        <v/>
      </c>
      <c r="D15" s="5">
        <f>IF(A15="","",NORMALIZED!F15)</f>
        <v/>
      </c>
      <c r="E15" s="5">
        <f>IF(A15="","",NORMALIZED!E15)</f>
        <v/>
      </c>
      <c r="F15" s="5">
        <f>IF(A15="","",NORMALIZED!J15)</f>
        <v/>
      </c>
      <c r="G15" s="17">
        <f>IF(A15="","",NORMALIZED!K15)</f>
        <v/>
      </c>
      <c r="H15" s="5">
        <f>IF(A15="","",NORMALIZED!L15)</f>
        <v/>
      </c>
      <c r="I15" s="5">
        <f>IF(A15="","",(F15*G15)/MAX(1,H15))</f>
        <v/>
      </c>
      <c r="J15" s="5">
        <f>IF(A15="","",NORMALIZED!M15)</f>
        <v/>
      </c>
      <c r="K15" s="5">
        <f>IF(A15="","",NORMALIZED!N15)</f>
        <v/>
      </c>
      <c r="L15" s="5">
        <f>IF(A15="","",NORMALIZED!O15)</f>
        <v/>
      </c>
      <c r="M15" s="5">
        <f>IF(A15="","",NORMALIZED!P15)</f>
        <v/>
      </c>
      <c r="N15" s="5">
        <f>IF(A15="","",(J15+K15+L15)/MAX(1,M15))</f>
        <v/>
      </c>
      <c r="O15" s="5">
        <f>IF(A15="","",RISK_ENGINE!M15)</f>
        <v/>
      </c>
      <c r="P15" s="5">
        <f>IF(A15="","",(60*I15)+(40*N15)-(0.5*O15))</f>
        <v/>
      </c>
      <c r="Q15" s="5">
        <f>IF(A15="","",RANK.EQ(P15,$P$4:$P$200,0))</f>
        <v/>
      </c>
      <c r="R15" s="5">
        <f>IF(A15="","",NORMALIZED!Q15)</f>
        <v/>
      </c>
      <c r="S15" s="5">
        <f>IF(A15="","","Owner: "&amp;D15&amp;" | "&amp;NORMALIZED!T15)</f>
        <v/>
      </c>
    </row>
    <row r="16">
      <c r="A16" s="5">
        <f>IFERROR(NORMALIZED!A16,"")</f>
        <v/>
      </c>
      <c r="B16" s="5">
        <f>IF(A16="","",NORMALIZED!B16)</f>
        <v/>
      </c>
      <c r="C16" s="5">
        <f>IF(A16="","",NORMALIZED!C16)</f>
        <v/>
      </c>
      <c r="D16" s="5">
        <f>IF(A16="","",NORMALIZED!F16)</f>
        <v/>
      </c>
      <c r="E16" s="5">
        <f>IF(A16="","",NORMALIZED!E16)</f>
        <v/>
      </c>
      <c r="F16" s="5">
        <f>IF(A16="","",NORMALIZED!J16)</f>
        <v/>
      </c>
      <c r="G16" s="17">
        <f>IF(A16="","",NORMALIZED!K16)</f>
        <v/>
      </c>
      <c r="H16" s="5">
        <f>IF(A16="","",NORMALIZED!L16)</f>
        <v/>
      </c>
      <c r="I16" s="5">
        <f>IF(A16="","",(F16*G16)/MAX(1,H16))</f>
        <v/>
      </c>
      <c r="J16" s="5">
        <f>IF(A16="","",NORMALIZED!M16)</f>
        <v/>
      </c>
      <c r="K16" s="5">
        <f>IF(A16="","",NORMALIZED!N16)</f>
        <v/>
      </c>
      <c r="L16" s="5">
        <f>IF(A16="","",NORMALIZED!O16)</f>
        <v/>
      </c>
      <c r="M16" s="5">
        <f>IF(A16="","",NORMALIZED!P16)</f>
        <v/>
      </c>
      <c r="N16" s="5">
        <f>IF(A16="","",(J16+K16+L16)/MAX(1,M16))</f>
        <v/>
      </c>
      <c r="O16" s="5">
        <f>IF(A16="","",RISK_ENGINE!M16)</f>
        <v/>
      </c>
      <c r="P16" s="5">
        <f>IF(A16="","",(60*I16)+(40*N16)-(0.5*O16))</f>
        <v/>
      </c>
      <c r="Q16" s="5">
        <f>IF(A16="","",RANK.EQ(P16,$P$4:$P$200,0))</f>
        <v/>
      </c>
      <c r="R16" s="5">
        <f>IF(A16="","",NORMALIZED!Q16)</f>
        <v/>
      </c>
      <c r="S16" s="5">
        <f>IF(A16="","","Owner: "&amp;D16&amp;" | "&amp;NORMALIZED!T16)</f>
        <v/>
      </c>
    </row>
    <row r="17">
      <c r="A17" s="5">
        <f>IFERROR(NORMALIZED!A17,"")</f>
        <v/>
      </c>
      <c r="B17" s="5">
        <f>IF(A17="","",NORMALIZED!B17)</f>
        <v/>
      </c>
      <c r="C17" s="5">
        <f>IF(A17="","",NORMALIZED!C17)</f>
        <v/>
      </c>
      <c r="D17" s="5">
        <f>IF(A17="","",NORMALIZED!F17)</f>
        <v/>
      </c>
      <c r="E17" s="5">
        <f>IF(A17="","",NORMALIZED!E17)</f>
        <v/>
      </c>
      <c r="F17" s="5">
        <f>IF(A17="","",NORMALIZED!J17)</f>
        <v/>
      </c>
      <c r="G17" s="17">
        <f>IF(A17="","",NORMALIZED!K17)</f>
        <v/>
      </c>
      <c r="H17" s="5">
        <f>IF(A17="","",NORMALIZED!L17)</f>
        <v/>
      </c>
      <c r="I17" s="5">
        <f>IF(A17="","",(F17*G17)/MAX(1,H17))</f>
        <v/>
      </c>
      <c r="J17" s="5">
        <f>IF(A17="","",NORMALIZED!M17)</f>
        <v/>
      </c>
      <c r="K17" s="5">
        <f>IF(A17="","",NORMALIZED!N17)</f>
        <v/>
      </c>
      <c r="L17" s="5">
        <f>IF(A17="","",NORMALIZED!O17)</f>
        <v/>
      </c>
      <c r="M17" s="5">
        <f>IF(A17="","",NORMALIZED!P17)</f>
        <v/>
      </c>
      <c r="N17" s="5">
        <f>IF(A17="","",(J17+K17+L17)/MAX(1,M17))</f>
        <v/>
      </c>
      <c r="O17" s="5">
        <f>IF(A17="","",RISK_ENGINE!M17)</f>
        <v/>
      </c>
      <c r="P17" s="5">
        <f>IF(A17="","",(60*I17)+(40*N17)-(0.5*O17))</f>
        <v/>
      </c>
      <c r="Q17" s="5">
        <f>IF(A17="","",RANK.EQ(P17,$P$4:$P$200,0))</f>
        <v/>
      </c>
      <c r="R17" s="5">
        <f>IF(A17="","",NORMALIZED!Q17)</f>
        <v/>
      </c>
      <c r="S17" s="5">
        <f>IF(A17="","","Owner: "&amp;D17&amp;" | "&amp;NORMALIZED!T17)</f>
        <v/>
      </c>
    </row>
    <row r="18">
      <c r="A18" s="5">
        <f>IFERROR(NORMALIZED!A18,"")</f>
        <v/>
      </c>
      <c r="B18" s="5">
        <f>IF(A18="","",NORMALIZED!B18)</f>
        <v/>
      </c>
      <c r="C18" s="5">
        <f>IF(A18="","",NORMALIZED!C18)</f>
        <v/>
      </c>
      <c r="D18" s="5">
        <f>IF(A18="","",NORMALIZED!F18)</f>
        <v/>
      </c>
      <c r="E18" s="5">
        <f>IF(A18="","",NORMALIZED!E18)</f>
        <v/>
      </c>
      <c r="F18" s="5">
        <f>IF(A18="","",NORMALIZED!J18)</f>
        <v/>
      </c>
      <c r="G18" s="17">
        <f>IF(A18="","",NORMALIZED!K18)</f>
        <v/>
      </c>
      <c r="H18" s="5">
        <f>IF(A18="","",NORMALIZED!L18)</f>
        <v/>
      </c>
      <c r="I18" s="5">
        <f>IF(A18="","",(F18*G18)/MAX(1,H18))</f>
        <v/>
      </c>
      <c r="J18" s="5">
        <f>IF(A18="","",NORMALIZED!M18)</f>
        <v/>
      </c>
      <c r="K18" s="5">
        <f>IF(A18="","",NORMALIZED!N18)</f>
        <v/>
      </c>
      <c r="L18" s="5">
        <f>IF(A18="","",NORMALIZED!O18)</f>
        <v/>
      </c>
      <c r="M18" s="5">
        <f>IF(A18="","",NORMALIZED!P18)</f>
        <v/>
      </c>
      <c r="N18" s="5">
        <f>IF(A18="","",(J18+K18+L18)/MAX(1,M18))</f>
        <v/>
      </c>
      <c r="O18" s="5">
        <f>IF(A18="","",RISK_ENGINE!M18)</f>
        <v/>
      </c>
      <c r="P18" s="5">
        <f>IF(A18="","",(60*I18)+(40*N18)-(0.5*O18))</f>
        <v/>
      </c>
      <c r="Q18" s="5">
        <f>IF(A18="","",RANK.EQ(P18,$P$4:$P$200,0))</f>
        <v/>
      </c>
      <c r="R18" s="5">
        <f>IF(A18="","",NORMALIZED!Q18)</f>
        <v/>
      </c>
      <c r="S18" s="5">
        <f>IF(A18="","","Owner: "&amp;D18&amp;" | "&amp;NORMALIZED!T18)</f>
        <v/>
      </c>
    </row>
    <row r="19">
      <c r="A19" s="5">
        <f>IFERROR(NORMALIZED!A19,"")</f>
        <v/>
      </c>
      <c r="B19" s="5">
        <f>IF(A19="","",NORMALIZED!B19)</f>
        <v/>
      </c>
      <c r="C19" s="5">
        <f>IF(A19="","",NORMALIZED!C19)</f>
        <v/>
      </c>
      <c r="D19" s="5">
        <f>IF(A19="","",NORMALIZED!F19)</f>
        <v/>
      </c>
      <c r="E19" s="5">
        <f>IF(A19="","",NORMALIZED!E19)</f>
        <v/>
      </c>
      <c r="F19" s="5">
        <f>IF(A19="","",NORMALIZED!J19)</f>
        <v/>
      </c>
      <c r="G19" s="17">
        <f>IF(A19="","",NORMALIZED!K19)</f>
        <v/>
      </c>
      <c r="H19" s="5">
        <f>IF(A19="","",NORMALIZED!L19)</f>
        <v/>
      </c>
      <c r="I19" s="5">
        <f>IF(A19="","",(F19*G19)/MAX(1,H19))</f>
        <v/>
      </c>
      <c r="J19" s="5">
        <f>IF(A19="","",NORMALIZED!M19)</f>
        <v/>
      </c>
      <c r="K19" s="5">
        <f>IF(A19="","",NORMALIZED!N19)</f>
        <v/>
      </c>
      <c r="L19" s="5">
        <f>IF(A19="","",NORMALIZED!O19)</f>
        <v/>
      </c>
      <c r="M19" s="5">
        <f>IF(A19="","",NORMALIZED!P19)</f>
        <v/>
      </c>
      <c r="N19" s="5">
        <f>IF(A19="","",(J19+K19+L19)/MAX(1,M19))</f>
        <v/>
      </c>
      <c r="O19" s="5">
        <f>IF(A19="","",RISK_ENGINE!M19)</f>
        <v/>
      </c>
      <c r="P19" s="5">
        <f>IF(A19="","",(60*I19)+(40*N19)-(0.5*O19))</f>
        <v/>
      </c>
      <c r="Q19" s="5">
        <f>IF(A19="","",RANK.EQ(P19,$P$4:$P$200,0))</f>
        <v/>
      </c>
      <c r="R19" s="5">
        <f>IF(A19="","",NORMALIZED!Q19)</f>
        <v/>
      </c>
      <c r="S19" s="5">
        <f>IF(A19="","","Owner: "&amp;D19&amp;" | "&amp;NORMALIZED!T19)</f>
        <v/>
      </c>
    </row>
    <row r="20">
      <c r="A20" s="5">
        <f>IFERROR(NORMALIZED!A20,"")</f>
        <v/>
      </c>
      <c r="B20" s="5">
        <f>IF(A20="","",NORMALIZED!B20)</f>
        <v/>
      </c>
      <c r="C20" s="5">
        <f>IF(A20="","",NORMALIZED!C20)</f>
        <v/>
      </c>
      <c r="D20" s="5">
        <f>IF(A20="","",NORMALIZED!F20)</f>
        <v/>
      </c>
      <c r="E20" s="5">
        <f>IF(A20="","",NORMALIZED!E20)</f>
        <v/>
      </c>
      <c r="F20" s="5">
        <f>IF(A20="","",NORMALIZED!J20)</f>
        <v/>
      </c>
      <c r="G20" s="17">
        <f>IF(A20="","",NORMALIZED!K20)</f>
        <v/>
      </c>
      <c r="H20" s="5">
        <f>IF(A20="","",NORMALIZED!L20)</f>
        <v/>
      </c>
      <c r="I20" s="5">
        <f>IF(A20="","",(F20*G20)/MAX(1,H20))</f>
        <v/>
      </c>
      <c r="J20" s="5">
        <f>IF(A20="","",NORMALIZED!M20)</f>
        <v/>
      </c>
      <c r="K20" s="5">
        <f>IF(A20="","",NORMALIZED!N20)</f>
        <v/>
      </c>
      <c r="L20" s="5">
        <f>IF(A20="","",NORMALIZED!O20)</f>
        <v/>
      </c>
      <c r="M20" s="5">
        <f>IF(A20="","",NORMALIZED!P20)</f>
        <v/>
      </c>
      <c r="N20" s="5">
        <f>IF(A20="","",(J20+K20+L20)/MAX(1,M20))</f>
        <v/>
      </c>
      <c r="O20" s="5">
        <f>IF(A20="","",RISK_ENGINE!M20)</f>
        <v/>
      </c>
      <c r="P20" s="5">
        <f>IF(A20="","",(60*I20)+(40*N20)-(0.5*O20))</f>
        <v/>
      </c>
      <c r="Q20" s="5">
        <f>IF(A20="","",RANK.EQ(P20,$P$4:$P$200,0))</f>
        <v/>
      </c>
      <c r="R20" s="5">
        <f>IF(A20="","",NORMALIZED!Q20)</f>
        <v/>
      </c>
      <c r="S20" s="5">
        <f>IF(A20="","","Owner: "&amp;D20&amp;" | "&amp;NORMALIZED!T20)</f>
        <v/>
      </c>
    </row>
    <row r="21">
      <c r="A21" s="5">
        <f>IFERROR(NORMALIZED!A21,"")</f>
        <v/>
      </c>
      <c r="B21" s="5">
        <f>IF(A21="","",NORMALIZED!B21)</f>
        <v/>
      </c>
      <c r="C21" s="5">
        <f>IF(A21="","",NORMALIZED!C21)</f>
        <v/>
      </c>
      <c r="D21" s="5">
        <f>IF(A21="","",NORMALIZED!F21)</f>
        <v/>
      </c>
      <c r="E21" s="5">
        <f>IF(A21="","",NORMALIZED!E21)</f>
        <v/>
      </c>
      <c r="F21" s="5">
        <f>IF(A21="","",NORMALIZED!J21)</f>
        <v/>
      </c>
      <c r="G21" s="17">
        <f>IF(A21="","",NORMALIZED!K21)</f>
        <v/>
      </c>
      <c r="H21" s="5">
        <f>IF(A21="","",NORMALIZED!L21)</f>
        <v/>
      </c>
      <c r="I21" s="5">
        <f>IF(A21="","",(F21*G21)/MAX(1,H21))</f>
        <v/>
      </c>
      <c r="J21" s="5">
        <f>IF(A21="","",NORMALIZED!M21)</f>
        <v/>
      </c>
      <c r="K21" s="5">
        <f>IF(A21="","",NORMALIZED!N21)</f>
        <v/>
      </c>
      <c r="L21" s="5">
        <f>IF(A21="","",NORMALIZED!O21)</f>
        <v/>
      </c>
      <c r="M21" s="5">
        <f>IF(A21="","",NORMALIZED!P21)</f>
        <v/>
      </c>
      <c r="N21" s="5">
        <f>IF(A21="","",(J21+K21+L21)/MAX(1,M21))</f>
        <v/>
      </c>
      <c r="O21" s="5">
        <f>IF(A21="","",RISK_ENGINE!M21)</f>
        <v/>
      </c>
      <c r="P21" s="5">
        <f>IF(A21="","",(60*I21)+(40*N21)-(0.5*O21))</f>
        <v/>
      </c>
      <c r="Q21" s="5">
        <f>IF(A21="","",RANK.EQ(P21,$P$4:$P$200,0))</f>
        <v/>
      </c>
      <c r="R21" s="5">
        <f>IF(A21="","",NORMALIZED!Q21)</f>
        <v/>
      </c>
      <c r="S21" s="5">
        <f>IF(A21="","","Owner: "&amp;D21&amp;" | "&amp;NORMALIZED!T21)</f>
        <v/>
      </c>
    </row>
    <row r="22">
      <c r="A22" s="5">
        <f>IFERROR(NORMALIZED!A22,"")</f>
        <v/>
      </c>
      <c r="B22" s="5">
        <f>IF(A22="","",NORMALIZED!B22)</f>
        <v/>
      </c>
      <c r="C22" s="5">
        <f>IF(A22="","",NORMALIZED!C22)</f>
        <v/>
      </c>
      <c r="D22" s="5">
        <f>IF(A22="","",NORMALIZED!F22)</f>
        <v/>
      </c>
      <c r="E22" s="5">
        <f>IF(A22="","",NORMALIZED!E22)</f>
        <v/>
      </c>
      <c r="F22" s="5">
        <f>IF(A22="","",NORMALIZED!J22)</f>
        <v/>
      </c>
      <c r="G22" s="17">
        <f>IF(A22="","",NORMALIZED!K22)</f>
        <v/>
      </c>
      <c r="H22" s="5">
        <f>IF(A22="","",NORMALIZED!L22)</f>
        <v/>
      </c>
      <c r="I22" s="5">
        <f>IF(A22="","",(F22*G22)/MAX(1,H22))</f>
        <v/>
      </c>
      <c r="J22" s="5">
        <f>IF(A22="","",NORMALIZED!M22)</f>
        <v/>
      </c>
      <c r="K22" s="5">
        <f>IF(A22="","",NORMALIZED!N22)</f>
        <v/>
      </c>
      <c r="L22" s="5">
        <f>IF(A22="","",NORMALIZED!O22)</f>
        <v/>
      </c>
      <c r="M22" s="5">
        <f>IF(A22="","",NORMALIZED!P22)</f>
        <v/>
      </c>
      <c r="N22" s="5">
        <f>IF(A22="","",(J22+K22+L22)/MAX(1,M22))</f>
        <v/>
      </c>
      <c r="O22" s="5">
        <f>IF(A22="","",RISK_ENGINE!M22)</f>
        <v/>
      </c>
      <c r="P22" s="5">
        <f>IF(A22="","",(60*I22)+(40*N22)-(0.5*O22))</f>
        <v/>
      </c>
      <c r="Q22" s="5">
        <f>IF(A22="","",RANK.EQ(P22,$P$4:$P$200,0))</f>
        <v/>
      </c>
      <c r="R22" s="5">
        <f>IF(A22="","",NORMALIZED!Q22)</f>
        <v/>
      </c>
      <c r="S22" s="5">
        <f>IF(A22="","","Owner: "&amp;D22&amp;" | "&amp;NORMALIZED!T22)</f>
        <v/>
      </c>
    </row>
    <row r="23">
      <c r="A23" s="5">
        <f>IFERROR(NORMALIZED!A23,"")</f>
        <v/>
      </c>
      <c r="B23" s="5">
        <f>IF(A23="","",NORMALIZED!B23)</f>
        <v/>
      </c>
      <c r="C23" s="5">
        <f>IF(A23="","",NORMALIZED!C23)</f>
        <v/>
      </c>
      <c r="D23" s="5">
        <f>IF(A23="","",NORMALIZED!F23)</f>
        <v/>
      </c>
      <c r="E23" s="5">
        <f>IF(A23="","",NORMALIZED!E23)</f>
        <v/>
      </c>
      <c r="F23" s="5">
        <f>IF(A23="","",NORMALIZED!J23)</f>
        <v/>
      </c>
      <c r="G23" s="17">
        <f>IF(A23="","",NORMALIZED!K23)</f>
        <v/>
      </c>
      <c r="H23" s="5">
        <f>IF(A23="","",NORMALIZED!L23)</f>
        <v/>
      </c>
      <c r="I23" s="5">
        <f>IF(A23="","",(F23*G23)/MAX(1,H23))</f>
        <v/>
      </c>
      <c r="J23" s="5">
        <f>IF(A23="","",NORMALIZED!M23)</f>
        <v/>
      </c>
      <c r="K23" s="5">
        <f>IF(A23="","",NORMALIZED!N23)</f>
        <v/>
      </c>
      <c r="L23" s="5">
        <f>IF(A23="","",NORMALIZED!O23)</f>
        <v/>
      </c>
      <c r="M23" s="5">
        <f>IF(A23="","",NORMALIZED!P23)</f>
        <v/>
      </c>
      <c r="N23" s="5">
        <f>IF(A23="","",(J23+K23+L23)/MAX(1,M23))</f>
        <v/>
      </c>
      <c r="O23" s="5">
        <f>IF(A23="","",RISK_ENGINE!M23)</f>
        <v/>
      </c>
      <c r="P23" s="5">
        <f>IF(A23="","",(60*I23)+(40*N23)-(0.5*O23))</f>
        <v/>
      </c>
      <c r="Q23" s="5">
        <f>IF(A23="","",RANK.EQ(P23,$P$4:$P$200,0))</f>
        <v/>
      </c>
      <c r="R23" s="5">
        <f>IF(A23="","",NORMALIZED!Q23)</f>
        <v/>
      </c>
      <c r="S23" s="5">
        <f>IF(A23="","","Owner: "&amp;D23&amp;" | "&amp;NORMALIZED!T23)</f>
        <v/>
      </c>
    </row>
    <row r="24">
      <c r="A24" s="5">
        <f>IFERROR(NORMALIZED!A24,"")</f>
        <v/>
      </c>
      <c r="B24" s="5">
        <f>IF(A24="","",NORMALIZED!B24)</f>
        <v/>
      </c>
      <c r="C24" s="5">
        <f>IF(A24="","",NORMALIZED!C24)</f>
        <v/>
      </c>
      <c r="D24" s="5">
        <f>IF(A24="","",NORMALIZED!F24)</f>
        <v/>
      </c>
      <c r="E24" s="5">
        <f>IF(A24="","",NORMALIZED!E24)</f>
        <v/>
      </c>
      <c r="F24" s="5">
        <f>IF(A24="","",NORMALIZED!J24)</f>
        <v/>
      </c>
      <c r="G24" s="17">
        <f>IF(A24="","",NORMALIZED!K24)</f>
        <v/>
      </c>
      <c r="H24" s="5">
        <f>IF(A24="","",NORMALIZED!L24)</f>
        <v/>
      </c>
      <c r="I24" s="5">
        <f>IF(A24="","",(F24*G24)/MAX(1,H24))</f>
        <v/>
      </c>
      <c r="J24" s="5">
        <f>IF(A24="","",NORMALIZED!M24)</f>
        <v/>
      </c>
      <c r="K24" s="5">
        <f>IF(A24="","",NORMALIZED!N24)</f>
        <v/>
      </c>
      <c r="L24" s="5">
        <f>IF(A24="","",NORMALIZED!O24)</f>
        <v/>
      </c>
      <c r="M24" s="5">
        <f>IF(A24="","",NORMALIZED!P24)</f>
        <v/>
      </c>
      <c r="N24" s="5">
        <f>IF(A24="","",(J24+K24+L24)/MAX(1,M24))</f>
        <v/>
      </c>
      <c r="O24" s="5">
        <f>IF(A24="","",RISK_ENGINE!M24)</f>
        <v/>
      </c>
      <c r="P24" s="5">
        <f>IF(A24="","",(60*I24)+(40*N24)-(0.5*O24))</f>
        <v/>
      </c>
      <c r="Q24" s="5">
        <f>IF(A24="","",RANK.EQ(P24,$P$4:$P$200,0))</f>
        <v/>
      </c>
      <c r="R24" s="5">
        <f>IF(A24="","",NORMALIZED!Q24)</f>
        <v/>
      </c>
      <c r="S24" s="5">
        <f>IF(A24="","","Owner: "&amp;D24&amp;" | "&amp;NORMALIZED!T24)</f>
        <v/>
      </c>
    </row>
    <row r="25">
      <c r="A25" s="5">
        <f>IFERROR(NORMALIZED!A25,"")</f>
        <v/>
      </c>
      <c r="B25" s="5">
        <f>IF(A25="","",NORMALIZED!B25)</f>
        <v/>
      </c>
      <c r="C25" s="5">
        <f>IF(A25="","",NORMALIZED!C25)</f>
        <v/>
      </c>
      <c r="D25" s="5">
        <f>IF(A25="","",NORMALIZED!F25)</f>
        <v/>
      </c>
      <c r="E25" s="5">
        <f>IF(A25="","",NORMALIZED!E25)</f>
        <v/>
      </c>
      <c r="F25" s="5">
        <f>IF(A25="","",NORMALIZED!J25)</f>
        <v/>
      </c>
      <c r="G25" s="17">
        <f>IF(A25="","",NORMALIZED!K25)</f>
        <v/>
      </c>
      <c r="H25" s="5">
        <f>IF(A25="","",NORMALIZED!L25)</f>
        <v/>
      </c>
      <c r="I25" s="5">
        <f>IF(A25="","",(F25*G25)/MAX(1,H25))</f>
        <v/>
      </c>
      <c r="J25" s="5">
        <f>IF(A25="","",NORMALIZED!M25)</f>
        <v/>
      </c>
      <c r="K25" s="5">
        <f>IF(A25="","",NORMALIZED!N25)</f>
        <v/>
      </c>
      <c r="L25" s="5">
        <f>IF(A25="","",NORMALIZED!O25)</f>
        <v/>
      </c>
      <c r="M25" s="5">
        <f>IF(A25="","",NORMALIZED!P25)</f>
        <v/>
      </c>
      <c r="N25" s="5">
        <f>IF(A25="","",(J25+K25+L25)/MAX(1,M25))</f>
        <v/>
      </c>
      <c r="O25" s="5">
        <f>IF(A25="","",RISK_ENGINE!M25)</f>
        <v/>
      </c>
      <c r="P25" s="5">
        <f>IF(A25="","",(60*I25)+(40*N25)-(0.5*O25))</f>
        <v/>
      </c>
      <c r="Q25" s="5">
        <f>IF(A25="","",RANK.EQ(P25,$P$4:$P$200,0))</f>
        <v/>
      </c>
      <c r="R25" s="5">
        <f>IF(A25="","",NORMALIZED!Q25)</f>
        <v/>
      </c>
      <c r="S25" s="5">
        <f>IF(A25="","","Owner: "&amp;D25&amp;" | "&amp;NORMALIZED!T25)</f>
        <v/>
      </c>
    </row>
    <row r="26">
      <c r="A26" s="5">
        <f>IFERROR(NORMALIZED!A26,"")</f>
        <v/>
      </c>
      <c r="B26" s="5">
        <f>IF(A26="","",NORMALIZED!B26)</f>
        <v/>
      </c>
      <c r="C26" s="5">
        <f>IF(A26="","",NORMALIZED!C26)</f>
        <v/>
      </c>
      <c r="D26" s="5">
        <f>IF(A26="","",NORMALIZED!F26)</f>
        <v/>
      </c>
      <c r="E26" s="5">
        <f>IF(A26="","",NORMALIZED!E26)</f>
        <v/>
      </c>
      <c r="F26" s="5">
        <f>IF(A26="","",NORMALIZED!J26)</f>
        <v/>
      </c>
      <c r="G26" s="17">
        <f>IF(A26="","",NORMALIZED!K26)</f>
        <v/>
      </c>
      <c r="H26" s="5">
        <f>IF(A26="","",NORMALIZED!L26)</f>
        <v/>
      </c>
      <c r="I26" s="5">
        <f>IF(A26="","",(F26*G26)/MAX(1,H26))</f>
        <v/>
      </c>
      <c r="J26" s="5">
        <f>IF(A26="","",NORMALIZED!M26)</f>
        <v/>
      </c>
      <c r="K26" s="5">
        <f>IF(A26="","",NORMALIZED!N26)</f>
        <v/>
      </c>
      <c r="L26" s="5">
        <f>IF(A26="","",NORMALIZED!O26)</f>
        <v/>
      </c>
      <c r="M26" s="5">
        <f>IF(A26="","",NORMALIZED!P26)</f>
        <v/>
      </c>
      <c r="N26" s="5">
        <f>IF(A26="","",(J26+K26+L26)/MAX(1,M26))</f>
        <v/>
      </c>
      <c r="O26" s="5">
        <f>IF(A26="","",RISK_ENGINE!M26)</f>
        <v/>
      </c>
      <c r="P26" s="5">
        <f>IF(A26="","",(60*I26)+(40*N26)-(0.5*O26))</f>
        <v/>
      </c>
      <c r="Q26" s="5">
        <f>IF(A26="","",RANK.EQ(P26,$P$4:$P$200,0))</f>
        <v/>
      </c>
      <c r="R26" s="5">
        <f>IF(A26="","",NORMALIZED!Q26)</f>
        <v/>
      </c>
      <c r="S26" s="5">
        <f>IF(A26="","","Owner: "&amp;D26&amp;" | "&amp;NORMALIZED!T26)</f>
        <v/>
      </c>
    </row>
    <row r="27">
      <c r="A27" s="5">
        <f>IFERROR(NORMALIZED!A27,"")</f>
        <v/>
      </c>
      <c r="B27" s="5">
        <f>IF(A27="","",NORMALIZED!B27)</f>
        <v/>
      </c>
      <c r="C27" s="5">
        <f>IF(A27="","",NORMALIZED!C27)</f>
        <v/>
      </c>
      <c r="D27" s="5">
        <f>IF(A27="","",NORMALIZED!F27)</f>
        <v/>
      </c>
      <c r="E27" s="5">
        <f>IF(A27="","",NORMALIZED!E27)</f>
        <v/>
      </c>
      <c r="F27" s="5">
        <f>IF(A27="","",NORMALIZED!J27)</f>
        <v/>
      </c>
      <c r="G27" s="17">
        <f>IF(A27="","",NORMALIZED!K27)</f>
        <v/>
      </c>
      <c r="H27" s="5">
        <f>IF(A27="","",NORMALIZED!L27)</f>
        <v/>
      </c>
      <c r="I27" s="5">
        <f>IF(A27="","",(F27*G27)/MAX(1,H27))</f>
        <v/>
      </c>
      <c r="J27" s="5">
        <f>IF(A27="","",NORMALIZED!M27)</f>
        <v/>
      </c>
      <c r="K27" s="5">
        <f>IF(A27="","",NORMALIZED!N27)</f>
        <v/>
      </c>
      <c r="L27" s="5">
        <f>IF(A27="","",NORMALIZED!O27)</f>
        <v/>
      </c>
      <c r="M27" s="5">
        <f>IF(A27="","",NORMALIZED!P27)</f>
        <v/>
      </c>
      <c r="N27" s="5">
        <f>IF(A27="","",(J27+K27+L27)/MAX(1,M27))</f>
        <v/>
      </c>
      <c r="O27" s="5">
        <f>IF(A27="","",RISK_ENGINE!M27)</f>
        <v/>
      </c>
      <c r="P27" s="5">
        <f>IF(A27="","",(60*I27)+(40*N27)-(0.5*O27))</f>
        <v/>
      </c>
      <c r="Q27" s="5">
        <f>IF(A27="","",RANK.EQ(P27,$P$4:$P$200,0))</f>
        <v/>
      </c>
      <c r="R27" s="5">
        <f>IF(A27="","",NORMALIZED!Q27)</f>
        <v/>
      </c>
      <c r="S27" s="5">
        <f>IF(A27="","","Owner: "&amp;D27&amp;" | "&amp;NORMALIZED!T27)</f>
        <v/>
      </c>
    </row>
    <row r="28">
      <c r="A28" s="5">
        <f>IFERROR(NORMALIZED!A28,"")</f>
        <v/>
      </c>
      <c r="B28" s="5">
        <f>IF(A28="","",NORMALIZED!B28)</f>
        <v/>
      </c>
      <c r="C28" s="5">
        <f>IF(A28="","",NORMALIZED!C28)</f>
        <v/>
      </c>
      <c r="D28" s="5">
        <f>IF(A28="","",NORMALIZED!F28)</f>
        <v/>
      </c>
      <c r="E28" s="5">
        <f>IF(A28="","",NORMALIZED!E28)</f>
        <v/>
      </c>
      <c r="F28" s="5">
        <f>IF(A28="","",NORMALIZED!J28)</f>
        <v/>
      </c>
      <c r="G28" s="17">
        <f>IF(A28="","",NORMALIZED!K28)</f>
        <v/>
      </c>
      <c r="H28" s="5">
        <f>IF(A28="","",NORMALIZED!L28)</f>
        <v/>
      </c>
      <c r="I28" s="5">
        <f>IF(A28="","",(F28*G28)/MAX(1,H28))</f>
        <v/>
      </c>
      <c r="J28" s="5">
        <f>IF(A28="","",NORMALIZED!M28)</f>
        <v/>
      </c>
      <c r="K28" s="5">
        <f>IF(A28="","",NORMALIZED!N28)</f>
        <v/>
      </c>
      <c r="L28" s="5">
        <f>IF(A28="","",NORMALIZED!O28)</f>
        <v/>
      </c>
      <c r="M28" s="5">
        <f>IF(A28="","",NORMALIZED!P28)</f>
        <v/>
      </c>
      <c r="N28" s="5">
        <f>IF(A28="","",(J28+K28+L28)/MAX(1,M28))</f>
        <v/>
      </c>
      <c r="O28" s="5">
        <f>IF(A28="","",RISK_ENGINE!M28)</f>
        <v/>
      </c>
      <c r="P28" s="5">
        <f>IF(A28="","",(60*I28)+(40*N28)-(0.5*O28))</f>
        <v/>
      </c>
      <c r="Q28" s="5">
        <f>IF(A28="","",RANK.EQ(P28,$P$4:$P$200,0))</f>
        <v/>
      </c>
      <c r="R28" s="5">
        <f>IF(A28="","",NORMALIZED!Q28)</f>
        <v/>
      </c>
      <c r="S28" s="5">
        <f>IF(A28="","","Owner: "&amp;D28&amp;" | "&amp;NORMALIZED!T28)</f>
        <v/>
      </c>
    </row>
    <row r="29">
      <c r="A29" s="5">
        <f>IFERROR(NORMALIZED!A29,"")</f>
        <v/>
      </c>
      <c r="B29" s="5">
        <f>IF(A29="","",NORMALIZED!B29)</f>
        <v/>
      </c>
      <c r="C29" s="5">
        <f>IF(A29="","",NORMALIZED!C29)</f>
        <v/>
      </c>
      <c r="D29" s="5">
        <f>IF(A29="","",NORMALIZED!F29)</f>
        <v/>
      </c>
      <c r="E29" s="5">
        <f>IF(A29="","",NORMALIZED!E29)</f>
        <v/>
      </c>
      <c r="F29" s="5">
        <f>IF(A29="","",NORMALIZED!J29)</f>
        <v/>
      </c>
      <c r="G29" s="17">
        <f>IF(A29="","",NORMALIZED!K29)</f>
        <v/>
      </c>
      <c r="H29" s="5">
        <f>IF(A29="","",NORMALIZED!L29)</f>
        <v/>
      </c>
      <c r="I29" s="5">
        <f>IF(A29="","",(F29*G29)/MAX(1,H29))</f>
        <v/>
      </c>
      <c r="J29" s="5">
        <f>IF(A29="","",NORMALIZED!M29)</f>
        <v/>
      </c>
      <c r="K29" s="5">
        <f>IF(A29="","",NORMALIZED!N29)</f>
        <v/>
      </c>
      <c r="L29" s="5">
        <f>IF(A29="","",NORMALIZED!O29)</f>
        <v/>
      </c>
      <c r="M29" s="5">
        <f>IF(A29="","",NORMALIZED!P29)</f>
        <v/>
      </c>
      <c r="N29" s="5">
        <f>IF(A29="","",(J29+K29+L29)/MAX(1,M29))</f>
        <v/>
      </c>
      <c r="O29" s="5">
        <f>IF(A29="","",RISK_ENGINE!M29)</f>
        <v/>
      </c>
      <c r="P29" s="5">
        <f>IF(A29="","",(60*I29)+(40*N29)-(0.5*O29))</f>
        <v/>
      </c>
      <c r="Q29" s="5">
        <f>IF(A29="","",RANK.EQ(P29,$P$4:$P$200,0))</f>
        <v/>
      </c>
      <c r="R29" s="5">
        <f>IF(A29="","",NORMALIZED!Q29)</f>
        <v/>
      </c>
      <c r="S29" s="5">
        <f>IF(A29="","","Owner: "&amp;D29&amp;" | "&amp;NORMALIZED!T29)</f>
        <v/>
      </c>
    </row>
    <row r="30">
      <c r="A30" s="5">
        <f>IFERROR(NORMALIZED!A30,"")</f>
        <v/>
      </c>
      <c r="B30" s="5">
        <f>IF(A30="","",NORMALIZED!B30)</f>
        <v/>
      </c>
      <c r="C30" s="5">
        <f>IF(A30="","",NORMALIZED!C30)</f>
        <v/>
      </c>
      <c r="D30" s="5">
        <f>IF(A30="","",NORMALIZED!F30)</f>
        <v/>
      </c>
      <c r="E30" s="5">
        <f>IF(A30="","",NORMALIZED!E30)</f>
        <v/>
      </c>
      <c r="F30" s="5">
        <f>IF(A30="","",NORMALIZED!J30)</f>
        <v/>
      </c>
      <c r="G30" s="17">
        <f>IF(A30="","",NORMALIZED!K30)</f>
        <v/>
      </c>
      <c r="H30" s="5">
        <f>IF(A30="","",NORMALIZED!L30)</f>
        <v/>
      </c>
      <c r="I30" s="5">
        <f>IF(A30="","",(F30*G30)/MAX(1,H30))</f>
        <v/>
      </c>
      <c r="J30" s="5">
        <f>IF(A30="","",NORMALIZED!M30)</f>
        <v/>
      </c>
      <c r="K30" s="5">
        <f>IF(A30="","",NORMALIZED!N30)</f>
        <v/>
      </c>
      <c r="L30" s="5">
        <f>IF(A30="","",NORMALIZED!O30)</f>
        <v/>
      </c>
      <c r="M30" s="5">
        <f>IF(A30="","",NORMALIZED!P30)</f>
        <v/>
      </c>
      <c r="N30" s="5">
        <f>IF(A30="","",(J30+K30+L30)/MAX(1,M30))</f>
        <v/>
      </c>
      <c r="O30" s="5">
        <f>IF(A30="","",RISK_ENGINE!M30)</f>
        <v/>
      </c>
      <c r="P30" s="5">
        <f>IF(A30="","",(60*I30)+(40*N30)-(0.5*O30))</f>
        <v/>
      </c>
      <c r="Q30" s="5">
        <f>IF(A30="","",RANK.EQ(P30,$P$4:$P$200,0))</f>
        <v/>
      </c>
      <c r="R30" s="5">
        <f>IF(A30="","",NORMALIZED!Q30)</f>
        <v/>
      </c>
      <c r="S30" s="5">
        <f>IF(A30="","","Owner: "&amp;D30&amp;" | "&amp;NORMALIZED!T30)</f>
        <v/>
      </c>
    </row>
    <row r="31">
      <c r="A31" s="5">
        <f>IFERROR(NORMALIZED!A31,"")</f>
        <v/>
      </c>
      <c r="B31" s="5">
        <f>IF(A31="","",NORMALIZED!B31)</f>
        <v/>
      </c>
      <c r="C31" s="5">
        <f>IF(A31="","",NORMALIZED!C31)</f>
        <v/>
      </c>
      <c r="D31" s="5">
        <f>IF(A31="","",NORMALIZED!F31)</f>
        <v/>
      </c>
      <c r="E31" s="5">
        <f>IF(A31="","",NORMALIZED!E31)</f>
        <v/>
      </c>
      <c r="F31" s="5">
        <f>IF(A31="","",NORMALIZED!J31)</f>
        <v/>
      </c>
      <c r="G31" s="17">
        <f>IF(A31="","",NORMALIZED!K31)</f>
        <v/>
      </c>
      <c r="H31" s="5">
        <f>IF(A31="","",NORMALIZED!L31)</f>
        <v/>
      </c>
      <c r="I31" s="5">
        <f>IF(A31="","",(F31*G31)/MAX(1,H31))</f>
        <v/>
      </c>
      <c r="J31" s="5">
        <f>IF(A31="","",NORMALIZED!M31)</f>
        <v/>
      </c>
      <c r="K31" s="5">
        <f>IF(A31="","",NORMALIZED!N31)</f>
        <v/>
      </c>
      <c r="L31" s="5">
        <f>IF(A31="","",NORMALIZED!O31)</f>
        <v/>
      </c>
      <c r="M31" s="5">
        <f>IF(A31="","",NORMALIZED!P31)</f>
        <v/>
      </c>
      <c r="N31" s="5">
        <f>IF(A31="","",(J31+K31+L31)/MAX(1,M31))</f>
        <v/>
      </c>
      <c r="O31" s="5">
        <f>IF(A31="","",RISK_ENGINE!M31)</f>
        <v/>
      </c>
      <c r="P31" s="5">
        <f>IF(A31="","",(60*I31)+(40*N31)-(0.5*O31))</f>
        <v/>
      </c>
      <c r="Q31" s="5">
        <f>IF(A31="","",RANK.EQ(P31,$P$4:$P$200,0))</f>
        <v/>
      </c>
      <c r="R31" s="5">
        <f>IF(A31="","",NORMALIZED!Q31)</f>
        <v/>
      </c>
      <c r="S31" s="5">
        <f>IF(A31="","","Owner: "&amp;D31&amp;" | "&amp;NORMALIZED!T31)</f>
        <v/>
      </c>
    </row>
    <row r="32">
      <c r="A32" s="5">
        <f>IFERROR(NORMALIZED!A32,"")</f>
        <v/>
      </c>
      <c r="B32" s="5">
        <f>IF(A32="","",NORMALIZED!B32)</f>
        <v/>
      </c>
      <c r="C32" s="5">
        <f>IF(A32="","",NORMALIZED!C32)</f>
        <v/>
      </c>
      <c r="D32" s="5">
        <f>IF(A32="","",NORMALIZED!F32)</f>
        <v/>
      </c>
      <c r="E32" s="5">
        <f>IF(A32="","",NORMALIZED!E32)</f>
        <v/>
      </c>
      <c r="F32" s="5">
        <f>IF(A32="","",NORMALIZED!J32)</f>
        <v/>
      </c>
      <c r="G32" s="17">
        <f>IF(A32="","",NORMALIZED!K32)</f>
        <v/>
      </c>
      <c r="H32" s="5">
        <f>IF(A32="","",NORMALIZED!L32)</f>
        <v/>
      </c>
      <c r="I32" s="5">
        <f>IF(A32="","",(F32*G32)/MAX(1,H32))</f>
        <v/>
      </c>
      <c r="J32" s="5">
        <f>IF(A32="","",NORMALIZED!M32)</f>
        <v/>
      </c>
      <c r="K32" s="5">
        <f>IF(A32="","",NORMALIZED!N32)</f>
        <v/>
      </c>
      <c r="L32" s="5">
        <f>IF(A32="","",NORMALIZED!O32)</f>
        <v/>
      </c>
      <c r="M32" s="5">
        <f>IF(A32="","",NORMALIZED!P32)</f>
        <v/>
      </c>
      <c r="N32" s="5">
        <f>IF(A32="","",(J32+K32+L32)/MAX(1,M32))</f>
        <v/>
      </c>
      <c r="O32" s="5">
        <f>IF(A32="","",RISK_ENGINE!M32)</f>
        <v/>
      </c>
      <c r="P32" s="5">
        <f>IF(A32="","",(60*I32)+(40*N32)-(0.5*O32))</f>
        <v/>
      </c>
      <c r="Q32" s="5">
        <f>IF(A32="","",RANK.EQ(P32,$P$4:$P$200,0))</f>
        <v/>
      </c>
      <c r="R32" s="5">
        <f>IF(A32="","",NORMALIZED!Q32)</f>
        <v/>
      </c>
      <c r="S32" s="5">
        <f>IF(A32="","","Owner: "&amp;D32&amp;" | "&amp;NORMALIZED!T32)</f>
        <v/>
      </c>
    </row>
    <row r="33">
      <c r="A33" s="5">
        <f>IFERROR(NORMALIZED!A33,"")</f>
        <v/>
      </c>
      <c r="B33" s="5">
        <f>IF(A33="","",NORMALIZED!B33)</f>
        <v/>
      </c>
      <c r="C33" s="5">
        <f>IF(A33="","",NORMALIZED!C33)</f>
        <v/>
      </c>
      <c r="D33" s="5">
        <f>IF(A33="","",NORMALIZED!F33)</f>
        <v/>
      </c>
      <c r="E33" s="5">
        <f>IF(A33="","",NORMALIZED!E33)</f>
        <v/>
      </c>
      <c r="F33" s="5">
        <f>IF(A33="","",NORMALIZED!J33)</f>
        <v/>
      </c>
      <c r="G33" s="17">
        <f>IF(A33="","",NORMALIZED!K33)</f>
        <v/>
      </c>
      <c r="H33" s="5">
        <f>IF(A33="","",NORMALIZED!L33)</f>
        <v/>
      </c>
      <c r="I33" s="5">
        <f>IF(A33="","",(F33*G33)/MAX(1,H33))</f>
        <v/>
      </c>
      <c r="J33" s="5">
        <f>IF(A33="","",NORMALIZED!M33)</f>
        <v/>
      </c>
      <c r="K33" s="5">
        <f>IF(A33="","",NORMALIZED!N33)</f>
        <v/>
      </c>
      <c r="L33" s="5">
        <f>IF(A33="","",NORMALIZED!O33)</f>
        <v/>
      </c>
      <c r="M33" s="5">
        <f>IF(A33="","",NORMALIZED!P33)</f>
        <v/>
      </c>
      <c r="N33" s="5">
        <f>IF(A33="","",(J33+K33+L33)/MAX(1,M33))</f>
        <v/>
      </c>
      <c r="O33" s="5">
        <f>IF(A33="","",RISK_ENGINE!M33)</f>
        <v/>
      </c>
      <c r="P33" s="5">
        <f>IF(A33="","",(60*I33)+(40*N33)-(0.5*O33))</f>
        <v/>
      </c>
      <c r="Q33" s="5">
        <f>IF(A33="","",RANK.EQ(P33,$P$4:$P$200,0))</f>
        <v/>
      </c>
      <c r="R33" s="5">
        <f>IF(A33="","",NORMALIZED!Q33)</f>
        <v/>
      </c>
      <c r="S33" s="5">
        <f>IF(A33="","","Owner: "&amp;D33&amp;" | "&amp;NORMALIZED!T33)</f>
        <v/>
      </c>
    </row>
    <row r="34">
      <c r="A34" s="5">
        <f>IFERROR(NORMALIZED!A34,"")</f>
        <v/>
      </c>
      <c r="B34" s="5">
        <f>IF(A34="","",NORMALIZED!B34)</f>
        <v/>
      </c>
      <c r="C34" s="5">
        <f>IF(A34="","",NORMALIZED!C34)</f>
        <v/>
      </c>
      <c r="D34" s="5">
        <f>IF(A34="","",NORMALIZED!F34)</f>
        <v/>
      </c>
      <c r="E34" s="5">
        <f>IF(A34="","",NORMALIZED!E34)</f>
        <v/>
      </c>
      <c r="F34" s="5">
        <f>IF(A34="","",NORMALIZED!J34)</f>
        <v/>
      </c>
      <c r="G34" s="17">
        <f>IF(A34="","",NORMALIZED!K34)</f>
        <v/>
      </c>
      <c r="H34" s="5">
        <f>IF(A34="","",NORMALIZED!L34)</f>
        <v/>
      </c>
      <c r="I34" s="5">
        <f>IF(A34="","",(F34*G34)/MAX(1,H34))</f>
        <v/>
      </c>
      <c r="J34" s="5">
        <f>IF(A34="","",NORMALIZED!M34)</f>
        <v/>
      </c>
      <c r="K34" s="5">
        <f>IF(A34="","",NORMALIZED!N34)</f>
        <v/>
      </c>
      <c r="L34" s="5">
        <f>IF(A34="","",NORMALIZED!O34)</f>
        <v/>
      </c>
      <c r="M34" s="5">
        <f>IF(A34="","",NORMALIZED!P34)</f>
        <v/>
      </c>
      <c r="N34" s="5">
        <f>IF(A34="","",(J34+K34+L34)/MAX(1,M34))</f>
        <v/>
      </c>
      <c r="O34" s="5">
        <f>IF(A34="","",RISK_ENGINE!M34)</f>
        <v/>
      </c>
      <c r="P34" s="5">
        <f>IF(A34="","",(60*I34)+(40*N34)-(0.5*O34))</f>
        <v/>
      </c>
      <c r="Q34" s="5">
        <f>IF(A34="","",RANK.EQ(P34,$P$4:$P$200,0))</f>
        <v/>
      </c>
      <c r="R34" s="5">
        <f>IF(A34="","",NORMALIZED!Q34)</f>
        <v/>
      </c>
      <c r="S34" s="5">
        <f>IF(A34="","","Owner: "&amp;D34&amp;" | "&amp;NORMALIZED!T34)</f>
        <v/>
      </c>
    </row>
    <row r="35">
      <c r="A35" s="5">
        <f>IFERROR(NORMALIZED!A35,"")</f>
        <v/>
      </c>
      <c r="B35" s="5">
        <f>IF(A35="","",NORMALIZED!B35)</f>
        <v/>
      </c>
      <c r="C35" s="5">
        <f>IF(A35="","",NORMALIZED!C35)</f>
        <v/>
      </c>
      <c r="D35" s="5">
        <f>IF(A35="","",NORMALIZED!F35)</f>
        <v/>
      </c>
      <c r="E35" s="5">
        <f>IF(A35="","",NORMALIZED!E35)</f>
        <v/>
      </c>
      <c r="F35" s="5">
        <f>IF(A35="","",NORMALIZED!J35)</f>
        <v/>
      </c>
      <c r="G35" s="17">
        <f>IF(A35="","",NORMALIZED!K35)</f>
        <v/>
      </c>
      <c r="H35" s="5">
        <f>IF(A35="","",NORMALIZED!L35)</f>
        <v/>
      </c>
      <c r="I35" s="5">
        <f>IF(A35="","",(F35*G35)/MAX(1,H35))</f>
        <v/>
      </c>
      <c r="J35" s="5">
        <f>IF(A35="","",NORMALIZED!M35)</f>
        <v/>
      </c>
      <c r="K35" s="5">
        <f>IF(A35="","",NORMALIZED!N35)</f>
        <v/>
      </c>
      <c r="L35" s="5">
        <f>IF(A35="","",NORMALIZED!O35)</f>
        <v/>
      </c>
      <c r="M35" s="5">
        <f>IF(A35="","",NORMALIZED!P35)</f>
        <v/>
      </c>
      <c r="N35" s="5">
        <f>IF(A35="","",(J35+K35+L35)/MAX(1,M35))</f>
        <v/>
      </c>
      <c r="O35" s="5">
        <f>IF(A35="","",RISK_ENGINE!M35)</f>
        <v/>
      </c>
      <c r="P35" s="5">
        <f>IF(A35="","",(60*I35)+(40*N35)-(0.5*O35))</f>
        <v/>
      </c>
      <c r="Q35" s="5">
        <f>IF(A35="","",RANK.EQ(P35,$P$4:$P$200,0))</f>
        <v/>
      </c>
      <c r="R35" s="5">
        <f>IF(A35="","",NORMALIZED!Q35)</f>
        <v/>
      </c>
      <c r="S35" s="5">
        <f>IF(A35="","","Owner: "&amp;D35&amp;" | "&amp;NORMALIZED!T35)</f>
        <v/>
      </c>
    </row>
    <row r="36">
      <c r="A36" s="5">
        <f>IFERROR(NORMALIZED!A36,"")</f>
        <v/>
      </c>
      <c r="B36" s="5">
        <f>IF(A36="","",NORMALIZED!B36)</f>
        <v/>
      </c>
      <c r="C36" s="5">
        <f>IF(A36="","",NORMALIZED!C36)</f>
        <v/>
      </c>
      <c r="D36" s="5">
        <f>IF(A36="","",NORMALIZED!F36)</f>
        <v/>
      </c>
      <c r="E36" s="5">
        <f>IF(A36="","",NORMALIZED!E36)</f>
        <v/>
      </c>
      <c r="F36" s="5">
        <f>IF(A36="","",NORMALIZED!J36)</f>
        <v/>
      </c>
      <c r="G36" s="17">
        <f>IF(A36="","",NORMALIZED!K36)</f>
        <v/>
      </c>
      <c r="H36" s="5">
        <f>IF(A36="","",NORMALIZED!L36)</f>
        <v/>
      </c>
      <c r="I36" s="5">
        <f>IF(A36="","",(F36*G36)/MAX(1,H36))</f>
        <v/>
      </c>
      <c r="J36" s="5">
        <f>IF(A36="","",NORMALIZED!M36)</f>
        <v/>
      </c>
      <c r="K36" s="5">
        <f>IF(A36="","",NORMALIZED!N36)</f>
        <v/>
      </c>
      <c r="L36" s="5">
        <f>IF(A36="","",NORMALIZED!O36)</f>
        <v/>
      </c>
      <c r="M36" s="5">
        <f>IF(A36="","",NORMALIZED!P36)</f>
        <v/>
      </c>
      <c r="N36" s="5">
        <f>IF(A36="","",(J36+K36+L36)/MAX(1,M36))</f>
        <v/>
      </c>
      <c r="O36" s="5">
        <f>IF(A36="","",RISK_ENGINE!M36)</f>
        <v/>
      </c>
      <c r="P36" s="5">
        <f>IF(A36="","",(60*I36)+(40*N36)-(0.5*O36))</f>
        <v/>
      </c>
      <c r="Q36" s="5">
        <f>IF(A36="","",RANK.EQ(P36,$P$4:$P$200,0))</f>
        <v/>
      </c>
      <c r="R36" s="5">
        <f>IF(A36="","",NORMALIZED!Q36)</f>
        <v/>
      </c>
      <c r="S36" s="5">
        <f>IF(A36="","","Owner: "&amp;D36&amp;" | "&amp;NORMALIZED!T36)</f>
        <v/>
      </c>
    </row>
    <row r="37">
      <c r="A37" s="5">
        <f>IFERROR(NORMALIZED!A37,"")</f>
        <v/>
      </c>
      <c r="B37" s="5">
        <f>IF(A37="","",NORMALIZED!B37)</f>
        <v/>
      </c>
      <c r="C37" s="5">
        <f>IF(A37="","",NORMALIZED!C37)</f>
        <v/>
      </c>
      <c r="D37" s="5">
        <f>IF(A37="","",NORMALIZED!F37)</f>
        <v/>
      </c>
      <c r="E37" s="5">
        <f>IF(A37="","",NORMALIZED!E37)</f>
        <v/>
      </c>
      <c r="F37" s="5">
        <f>IF(A37="","",NORMALIZED!J37)</f>
        <v/>
      </c>
      <c r="G37" s="17">
        <f>IF(A37="","",NORMALIZED!K37)</f>
        <v/>
      </c>
      <c r="H37" s="5">
        <f>IF(A37="","",NORMALIZED!L37)</f>
        <v/>
      </c>
      <c r="I37" s="5">
        <f>IF(A37="","",(F37*G37)/MAX(1,H37))</f>
        <v/>
      </c>
      <c r="J37" s="5">
        <f>IF(A37="","",NORMALIZED!M37)</f>
        <v/>
      </c>
      <c r="K37" s="5">
        <f>IF(A37="","",NORMALIZED!N37)</f>
        <v/>
      </c>
      <c r="L37" s="5">
        <f>IF(A37="","",NORMALIZED!O37)</f>
        <v/>
      </c>
      <c r="M37" s="5">
        <f>IF(A37="","",NORMALIZED!P37)</f>
        <v/>
      </c>
      <c r="N37" s="5">
        <f>IF(A37="","",(J37+K37+L37)/MAX(1,M37))</f>
        <v/>
      </c>
      <c r="O37" s="5">
        <f>IF(A37="","",RISK_ENGINE!M37)</f>
        <v/>
      </c>
      <c r="P37" s="5">
        <f>IF(A37="","",(60*I37)+(40*N37)-(0.5*O37))</f>
        <v/>
      </c>
      <c r="Q37" s="5">
        <f>IF(A37="","",RANK.EQ(P37,$P$4:$P$200,0))</f>
        <v/>
      </c>
      <c r="R37" s="5">
        <f>IF(A37="","",NORMALIZED!Q37)</f>
        <v/>
      </c>
      <c r="S37" s="5">
        <f>IF(A37="","","Owner: "&amp;D37&amp;" | "&amp;NORMALIZED!T37)</f>
        <v/>
      </c>
    </row>
    <row r="38">
      <c r="A38" s="5">
        <f>IFERROR(NORMALIZED!A38,"")</f>
        <v/>
      </c>
      <c r="B38" s="5">
        <f>IF(A38="","",NORMALIZED!B38)</f>
        <v/>
      </c>
      <c r="C38" s="5">
        <f>IF(A38="","",NORMALIZED!C38)</f>
        <v/>
      </c>
      <c r="D38" s="5">
        <f>IF(A38="","",NORMALIZED!F38)</f>
        <v/>
      </c>
      <c r="E38" s="5">
        <f>IF(A38="","",NORMALIZED!E38)</f>
        <v/>
      </c>
      <c r="F38" s="5">
        <f>IF(A38="","",NORMALIZED!J38)</f>
        <v/>
      </c>
      <c r="G38" s="17">
        <f>IF(A38="","",NORMALIZED!K38)</f>
        <v/>
      </c>
      <c r="H38" s="5">
        <f>IF(A38="","",NORMALIZED!L38)</f>
        <v/>
      </c>
      <c r="I38" s="5">
        <f>IF(A38="","",(F38*G38)/MAX(1,H38))</f>
        <v/>
      </c>
      <c r="J38" s="5">
        <f>IF(A38="","",NORMALIZED!M38)</f>
        <v/>
      </c>
      <c r="K38" s="5">
        <f>IF(A38="","",NORMALIZED!N38)</f>
        <v/>
      </c>
      <c r="L38" s="5">
        <f>IF(A38="","",NORMALIZED!O38)</f>
        <v/>
      </c>
      <c r="M38" s="5">
        <f>IF(A38="","",NORMALIZED!P38)</f>
        <v/>
      </c>
      <c r="N38" s="5">
        <f>IF(A38="","",(J38+K38+L38)/MAX(1,M38))</f>
        <v/>
      </c>
      <c r="O38" s="5">
        <f>IF(A38="","",RISK_ENGINE!M38)</f>
        <v/>
      </c>
      <c r="P38" s="5">
        <f>IF(A38="","",(60*I38)+(40*N38)-(0.5*O38))</f>
        <v/>
      </c>
      <c r="Q38" s="5">
        <f>IF(A38="","",RANK.EQ(P38,$P$4:$P$200,0))</f>
        <v/>
      </c>
      <c r="R38" s="5">
        <f>IF(A38="","",NORMALIZED!Q38)</f>
        <v/>
      </c>
      <c r="S38" s="5">
        <f>IF(A38="","","Owner: "&amp;D38&amp;" | "&amp;NORMALIZED!T38)</f>
        <v/>
      </c>
    </row>
    <row r="39">
      <c r="A39" s="5">
        <f>IFERROR(NORMALIZED!A39,"")</f>
        <v/>
      </c>
      <c r="B39" s="5">
        <f>IF(A39="","",NORMALIZED!B39)</f>
        <v/>
      </c>
      <c r="C39" s="5">
        <f>IF(A39="","",NORMALIZED!C39)</f>
        <v/>
      </c>
      <c r="D39" s="5">
        <f>IF(A39="","",NORMALIZED!F39)</f>
        <v/>
      </c>
      <c r="E39" s="5">
        <f>IF(A39="","",NORMALIZED!E39)</f>
        <v/>
      </c>
      <c r="F39" s="5">
        <f>IF(A39="","",NORMALIZED!J39)</f>
        <v/>
      </c>
      <c r="G39" s="17">
        <f>IF(A39="","",NORMALIZED!K39)</f>
        <v/>
      </c>
      <c r="H39" s="5">
        <f>IF(A39="","",NORMALIZED!L39)</f>
        <v/>
      </c>
      <c r="I39" s="5">
        <f>IF(A39="","",(F39*G39)/MAX(1,H39))</f>
        <v/>
      </c>
      <c r="J39" s="5">
        <f>IF(A39="","",NORMALIZED!M39)</f>
        <v/>
      </c>
      <c r="K39" s="5">
        <f>IF(A39="","",NORMALIZED!N39)</f>
        <v/>
      </c>
      <c r="L39" s="5">
        <f>IF(A39="","",NORMALIZED!O39)</f>
        <v/>
      </c>
      <c r="M39" s="5">
        <f>IF(A39="","",NORMALIZED!P39)</f>
        <v/>
      </c>
      <c r="N39" s="5">
        <f>IF(A39="","",(J39+K39+L39)/MAX(1,M39))</f>
        <v/>
      </c>
      <c r="O39" s="5">
        <f>IF(A39="","",RISK_ENGINE!M39)</f>
        <v/>
      </c>
      <c r="P39" s="5">
        <f>IF(A39="","",(60*I39)+(40*N39)-(0.5*O39))</f>
        <v/>
      </c>
      <c r="Q39" s="5">
        <f>IF(A39="","",RANK.EQ(P39,$P$4:$P$200,0))</f>
        <v/>
      </c>
      <c r="R39" s="5">
        <f>IF(A39="","",NORMALIZED!Q39)</f>
        <v/>
      </c>
      <c r="S39" s="5">
        <f>IF(A39="","","Owner: "&amp;D39&amp;" | "&amp;NORMALIZED!T39)</f>
        <v/>
      </c>
    </row>
    <row r="40">
      <c r="A40" s="5">
        <f>IFERROR(NORMALIZED!A40,"")</f>
        <v/>
      </c>
      <c r="B40" s="5">
        <f>IF(A40="","",NORMALIZED!B40)</f>
        <v/>
      </c>
      <c r="C40" s="5">
        <f>IF(A40="","",NORMALIZED!C40)</f>
        <v/>
      </c>
      <c r="D40" s="5">
        <f>IF(A40="","",NORMALIZED!F40)</f>
        <v/>
      </c>
      <c r="E40" s="5">
        <f>IF(A40="","",NORMALIZED!E40)</f>
        <v/>
      </c>
      <c r="F40" s="5">
        <f>IF(A40="","",NORMALIZED!J40)</f>
        <v/>
      </c>
      <c r="G40" s="17">
        <f>IF(A40="","",NORMALIZED!K40)</f>
        <v/>
      </c>
      <c r="H40" s="5">
        <f>IF(A40="","",NORMALIZED!L40)</f>
        <v/>
      </c>
      <c r="I40" s="5">
        <f>IF(A40="","",(F40*G40)/MAX(1,H40))</f>
        <v/>
      </c>
      <c r="J40" s="5">
        <f>IF(A40="","",NORMALIZED!M40)</f>
        <v/>
      </c>
      <c r="K40" s="5">
        <f>IF(A40="","",NORMALIZED!N40)</f>
        <v/>
      </c>
      <c r="L40" s="5">
        <f>IF(A40="","",NORMALIZED!O40)</f>
        <v/>
      </c>
      <c r="M40" s="5">
        <f>IF(A40="","",NORMALIZED!P40)</f>
        <v/>
      </c>
      <c r="N40" s="5">
        <f>IF(A40="","",(J40+K40+L40)/MAX(1,M40))</f>
        <v/>
      </c>
      <c r="O40" s="5">
        <f>IF(A40="","",RISK_ENGINE!M40)</f>
        <v/>
      </c>
      <c r="P40" s="5">
        <f>IF(A40="","",(60*I40)+(40*N40)-(0.5*O40))</f>
        <v/>
      </c>
      <c r="Q40" s="5">
        <f>IF(A40="","",RANK.EQ(P40,$P$4:$P$200,0))</f>
        <v/>
      </c>
      <c r="R40" s="5">
        <f>IF(A40="","",NORMALIZED!Q40)</f>
        <v/>
      </c>
      <c r="S40" s="5">
        <f>IF(A40="","","Owner: "&amp;D40&amp;" | "&amp;NORMALIZED!T40)</f>
        <v/>
      </c>
    </row>
    <row r="41">
      <c r="A41" s="5">
        <f>IFERROR(NORMALIZED!A41,"")</f>
        <v/>
      </c>
      <c r="B41" s="5">
        <f>IF(A41="","",NORMALIZED!B41)</f>
        <v/>
      </c>
      <c r="C41" s="5">
        <f>IF(A41="","",NORMALIZED!C41)</f>
        <v/>
      </c>
      <c r="D41" s="5">
        <f>IF(A41="","",NORMALIZED!F41)</f>
        <v/>
      </c>
      <c r="E41" s="5">
        <f>IF(A41="","",NORMALIZED!E41)</f>
        <v/>
      </c>
      <c r="F41" s="5">
        <f>IF(A41="","",NORMALIZED!J41)</f>
        <v/>
      </c>
      <c r="G41" s="17">
        <f>IF(A41="","",NORMALIZED!K41)</f>
        <v/>
      </c>
      <c r="H41" s="5">
        <f>IF(A41="","",NORMALIZED!L41)</f>
        <v/>
      </c>
      <c r="I41" s="5">
        <f>IF(A41="","",(F41*G41)/MAX(1,H41))</f>
        <v/>
      </c>
      <c r="J41" s="5">
        <f>IF(A41="","",NORMALIZED!M41)</f>
        <v/>
      </c>
      <c r="K41" s="5">
        <f>IF(A41="","",NORMALIZED!N41)</f>
        <v/>
      </c>
      <c r="L41" s="5">
        <f>IF(A41="","",NORMALIZED!O41)</f>
        <v/>
      </c>
      <c r="M41" s="5">
        <f>IF(A41="","",NORMALIZED!P41)</f>
        <v/>
      </c>
      <c r="N41" s="5">
        <f>IF(A41="","",(J41+K41+L41)/MAX(1,M41))</f>
        <v/>
      </c>
      <c r="O41" s="5">
        <f>IF(A41="","",RISK_ENGINE!M41)</f>
        <v/>
      </c>
      <c r="P41" s="5">
        <f>IF(A41="","",(60*I41)+(40*N41)-(0.5*O41))</f>
        <v/>
      </c>
      <c r="Q41" s="5">
        <f>IF(A41="","",RANK.EQ(P41,$P$4:$P$200,0))</f>
        <v/>
      </c>
      <c r="R41" s="5">
        <f>IF(A41="","",NORMALIZED!Q41)</f>
        <v/>
      </c>
      <c r="S41" s="5">
        <f>IF(A41="","","Owner: "&amp;D41&amp;" | "&amp;NORMALIZED!T41)</f>
        <v/>
      </c>
    </row>
    <row r="42">
      <c r="A42" s="5">
        <f>IFERROR(NORMALIZED!A42,"")</f>
        <v/>
      </c>
      <c r="B42" s="5">
        <f>IF(A42="","",NORMALIZED!B42)</f>
        <v/>
      </c>
      <c r="C42" s="5">
        <f>IF(A42="","",NORMALIZED!C42)</f>
        <v/>
      </c>
      <c r="D42" s="5">
        <f>IF(A42="","",NORMALIZED!F42)</f>
        <v/>
      </c>
      <c r="E42" s="5">
        <f>IF(A42="","",NORMALIZED!E42)</f>
        <v/>
      </c>
      <c r="F42" s="5">
        <f>IF(A42="","",NORMALIZED!J42)</f>
        <v/>
      </c>
      <c r="G42" s="17">
        <f>IF(A42="","",NORMALIZED!K42)</f>
        <v/>
      </c>
      <c r="H42" s="5">
        <f>IF(A42="","",NORMALIZED!L42)</f>
        <v/>
      </c>
      <c r="I42" s="5">
        <f>IF(A42="","",(F42*G42)/MAX(1,H42))</f>
        <v/>
      </c>
      <c r="J42" s="5">
        <f>IF(A42="","",NORMALIZED!M42)</f>
        <v/>
      </c>
      <c r="K42" s="5">
        <f>IF(A42="","",NORMALIZED!N42)</f>
        <v/>
      </c>
      <c r="L42" s="5">
        <f>IF(A42="","",NORMALIZED!O42)</f>
        <v/>
      </c>
      <c r="M42" s="5">
        <f>IF(A42="","",NORMALIZED!P42)</f>
        <v/>
      </c>
      <c r="N42" s="5">
        <f>IF(A42="","",(J42+K42+L42)/MAX(1,M42))</f>
        <v/>
      </c>
      <c r="O42" s="5">
        <f>IF(A42="","",RISK_ENGINE!M42)</f>
        <v/>
      </c>
      <c r="P42" s="5">
        <f>IF(A42="","",(60*I42)+(40*N42)-(0.5*O42))</f>
        <v/>
      </c>
      <c r="Q42" s="5">
        <f>IF(A42="","",RANK.EQ(P42,$P$4:$P$200,0))</f>
        <v/>
      </c>
      <c r="R42" s="5">
        <f>IF(A42="","",NORMALIZED!Q42)</f>
        <v/>
      </c>
      <c r="S42" s="5">
        <f>IF(A42="","","Owner: "&amp;D42&amp;" | "&amp;NORMALIZED!T42)</f>
        <v/>
      </c>
    </row>
    <row r="43">
      <c r="A43" s="5">
        <f>IFERROR(NORMALIZED!A43,"")</f>
        <v/>
      </c>
      <c r="B43" s="5">
        <f>IF(A43="","",NORMALIZED!B43)</f>
        <v/>
      </c>
      <c r="C43" s="5">
        <f>IF(A43="","",NORMALIZED!C43)</f>
        <v/>
      </c>
      <c r="D43" s="5">
        <f>IF(A43="","",NORMALIZED!F43)</f>
        <v/>
      </c>
      <c r="E43" s="5">
        <f>IF(A43="","",NORMALIZED!E43)</f>
        <v/>
      </c>
      <c r="F43" s="5">
        <f>IF(A43="","",NORMALIZED!J43)</f>
        <v/>
      </c>
      <c r="G43" s="17">
        <f>IF(A43="","",NORMALIZED!K43)</f>
        <v/>
      </c>
      <c r="H43" s="5">
        <f>IF(A43="","",NORMALIZED!L43)</f>
        <v/>
      </c>
      <c r="I43" s="5">
        <f>IF(A43="","",(F43*G43)/MAX(1,H43))</f>
        <v/>
      </c>
      <c r="J43" s="5">
        <f>IF(A43="","",NORMALIZED!M43)</f>
        <v/>
      </c>
      <c r="K43" s="5">
        <f>IF(A43="","",NORMALIZED!N43)</f>
        <v/>
      </c>
      <c r="L43" s="5">
        <f>IF(A43="","",NORMALIZED!O43)</f>
        <v/>
      </c>
      <c r="M43" s="5">
        <f>IF(A43="","",NORMALIZED!P43)</f>
        <v/>
      </c>
      <c r="N43" s="5">
        <f>IF(A43="","",(J43+K43+L43)/MAX(1,M43))</f>
        <v/>
      </c>
      <c r="O43" s="5">
        <f>IF(A43="","",RISK_ENGINE!M43)</f>
        <v/>
      </c>
      <c r="P43" s="5">
        <f>IF(A43="","",(60*I43)+(40*N43)-(0.5*O43))</f>
        <v/>
      </c>
      <c r="Q43" s="5">
        <f>IF(A43="","",RANK.EQ(P43,$P$4:$P$200,0))</f>
        <v/>
      </c>
      <c r="R43" s="5">
        <f>IF(A43="","",NORMALIZED!Q43)</f>
        <v/>
      </c>
      <c r="S43" s="5">
        <f>IF(A43="","","Owner: "&amp;D43&amp;" | "&amp;NORMALIZED!T43)</f>
        <v/>
      </c>
    </row>
    <row r="44">
      <c r="A44" s="5">
        <f>IFERROR(NORMALIZED!A44,"")</f>
        <v/>
      </c>
      <c r="B44" s="5">
        <f>IF(A44="","",NORMALIZED!B44)</f>
        <v/>
      </c>
      <c r="C44" s="5">
        <f>IF(A44="","",NORMALIZED!C44)</f>
        <v/>
      </c>
      <c r="D44" s="5">
        <f>IF(A44="","",NORMALIZED!F44)</f>
        <v/>
      </c>
      <c r="E44" s="5">
        <f>IF(A44="","",NORMALIZED!E44)</f>
        <v/>
      </c>
      <c r="F44" s="5">
        <f>IF(A44="","",NORMALIZED!J44)</f>
        <v/>
      </c>
      <c r="G44" s="17">
        <f>IF(A44="","",NORMALIZED!K44)</f>
        <v/>
      </c>
      <c r="H44" s="5">
        <f>IF(A44="","",NORMALIZED!L44)</f>
        <v/>
      </c>
      <c r="I44" s="5">
        <f>IF(A44="","",(F44*G44)/MAX(1,H44))</f>
        <v/>
      </c>
      <c r="J44" s="5">
        <f>IF(A44="","",NORMALIZED!M44)</f>
        <v/>
      </c>
      <c r="K44" s="5">
        <f>IF(A44="","",NORMALIZED!N44)</f>
        <v/>
      </c>
      <c r="L44" s="5">
        <f>IF(A44="","",NORMALIZED!O44)</f>
        <v/>
      </c>
      <c r="M44" s="5">
        <f>IF(A44="","",NORMALIZED!P44)</f>
        <v/>
      </c>
      <c r="N44" s="5">
        <f>IF(A44="","",(J44+K44+L44)/MAX(1,M44))</f>
        <v/>
      </c>
      <c r="O44" s="5">
        <f>IF(A44="","",RISK_ENGINE!M44)</f>
        <v/>
      </c>
      <c r="P44" s="5">
        <f>IF(A44="","",(60*I44)+(40*N44)-(0.5*O44))</f>
        <v/>
      </c>
      <c r="Q44" s="5">
        <f>IF(A44="","",RANK.EQ(P44,$P$4:$P$200,0))</f>
        <v/>
      </c>
      <c r="R44" s="5">
        <f>IF(A44="","",NORMALIZED!Q44)</f>
        <v/>
      </c>
      <c r="S44" s="5">
        <f>IF(A44="","","Owner: "&amp;D44&amp;" | "&amp;NORMALIZED!T44)</f>
        <v/>
      </c>
    </row>
    <row r="45">
      <c r="A45" s="5">
        <f>IFERROR(NORMALIZED!A45,"")</f>
        <v/>
      </c>
      <c r="B45" s="5">
        <f>IF(A45="","",NORMALIZED!B45)</f>
        <v/>
      </c>
      <c r="C45" s="5">
        <f>IF(A45="","",NORMALIZED!C45)</f>
        <v/>
      </c>
      <c r="D45" s="5">
        <f>IF(A45="","",NORMALIZED!F45)</f>
        <v/>
      </c>
      <c r="E45" s="5">
        <f>IF(A45="","",NORMALIZED!E45)</f>
        <v/>
      </c>
      <c r="F45" s="5">
        <f>IF(A45="","",NORMALIZED!J45)</f>
        <v/>
      </c>
      <c r="G45" s="17">
        <f>IF(A45="","",NORMALIZED!K45)</f>
        <v/>
      </c>
      <c r="H45" s="5">
        <f>IF(A45="","",NORMALIZED!L45)</f>
        <v/>
      </c>
      <c r="I45" s="5">
        <f>IF(A45="","",(F45*G45)/MAX(1,H45))</f>
        <v/>
      </c>
      <c r="J45" s="5">
        <f>IF(A45="","",NORMALIZED!M45)</f>
        <v/>
      </c>
      <c r="K45" s="5">
        <f>IF(A45="","",NORMALIZED!N45)</f>
        <v/>
      </c>
      <c r="L45" s="5">
        <f>IF(A45="","",NORMALIZED!O45)</f>
        <v/>
      </c>
      <c r="M45" s="5">
        <f>IF(A45="","",NORMALIZED!P45)</f>
        <v/>
      </c>
      <c r="N45" s="5">
        <f>IF(A45="","",(J45+K45+L45)/MAX(1,M45))</f>
        <v/>
      </c>
      <c r="O45" s="5">
        <f>IF(A45="","",RISK_ENGINE!M45)</f>
        <v/>
      </c>
      <c r="P45" s="5">
        <f>IF(A45="","",(60*I45)+(40*N45)-(0.5*O45))</f>
        <v/>
      </c>
      <c r="Q45" s="5">
        <f>IF(A45="","",RANK.EQ(P45,$P$4:$P$200,0))</f>
        <v/>
      </c>
      <c r="R45" s="5">
        <f>IF(A45="","",NORMALIZED!Q45)</f>
        <v/>
      </c>
      <c r="S45" s="5">
        <f>IF(A45="","","Owner: "&amp;D45&amp;" | "&amp;NORMALIZED!T45)</f>
        <v/>
      </c>
    </row>
    <row r="46">
      <c r="A46" s="5">
        <f>IFERROR(NORMALIZED!A46,"")</f>
        <v/>
      </c>
      <c r="B46" s="5">
        <f>IF(A46="","",NORMALIZED!B46)</f>
        <v/>
      </c>
      <c r="C46" s="5">
        <f>IF(A46="","",NORMALIZED!C46)</f>
        <v/>
      </c>
      <c r="D46" s="5">
        <f>IF(A46="","",NORMALIZED!F46)</f>
        <v/>
      </c>
      <c r="E46" s="5">
        <f>IF(A46="","",NORMALIZED!E46)</f>
        <v/>
      </c>
      <c r="F46" s="5">
        <f>IF(A46="","",NORMALIZED!J46)</f>
        <v/>
      </c>
      <c r="G46" s="17">
        <f>IF(A46="","",NORMALIZED!K46)</f>
        <v/>
      </c>
      <c r="H46" s="5">
        <f>IF(A46="","",NORMALIZED!L46)</f>
        <v/>
      </c>
      <c r="I46" s="5">
        <f>IF(A46="","",(F46*G46)/MAX(1,H46))</f>
        <v/>
      </c>
      <c r="J46" s="5">
        <f>IF(A46="","",NORMALIZED!M46)</f>
        <v/>
      </c>
      <c r="K46" s="5">
        <f>IF(A46="","",NORMALIZED!N46)</f>
        <v/>
      </c>
      <c r="L46" s="5">
        <f>IF(A46="","",NORMALIZED!O46)</f>
        <v/>
      </c>
      <c r="M46" s="5">
        <f>IF(A46="","",NORMALIZED!P46)</f>
        <v/>
      </c>
      <c r="N46" s="5">
        <f>IF(A46="","",(J46+K46+L46)/MAX(1,M46))</f>
        <v/>
      </c>
      <c r="O46" s="5">
        <f>IF(A46="","",RISK_ENGINE!M46)</f>
        <v/>
      </c>
      <c r="P46" s="5">
        <f>IF(A46="","",(60*I46)+(40*N46)-(0.5*O46))</f>
        <v/>
      </c>
      <c r="Q46" s="5">
        <f>IF(A46="","",RANK.EQ(P46,$P$4:$P$200,0))</f>
        <v/>
      </c>
      <c r="R46" s="5">
        <f>IF(A46="","",NORMALIZED!Q46)</f>
        <v/>
      </c>
      <c r="S46" s="5">
        <f>IF(A46="","","Owner: "&amp;D46&amp;" | "&amp;NORMALIZED!T46)</f>
        <v/>
      </c>
    </row>
    <row r="47">
      <c r="A47" s="5">
        <f>IFERROR(NORMALIZED!A47,"")</f>
        <v/>
      </c>
      <c r="B47" s="5">
        <f>IF(A47="","",NORMALIZED!B47)</f>
        <v/>
      </c>
      <c r="C47" s="5">
        <f>IF(A47="","",NORMALIZED!C47)</f>
        <v/>
      </c>
      <c r="D47" s="5">
        <f>IF(A47="","",NORMALIZED!F47)</f>
        <v/>
      </c>
      <c r="E47" s="5">
        <f>IF(A47="","",NORMALIZED!E47)</f>
        <v/>
      </c>
      <c r="F47" s="5">
        <f>IF(A47="","",NORMALIZED!J47)</f>
        <v/>
      </c>
      <c r="G47" s="17">
        <f>IF(A47="","",NORMALIZED!K47)</f>
        <v/>
      </c>
      <c r="H47" s="5">
        <f>IF(A47="","",NORMALIZED!L47)</f>
        <v/>
      </c>
      <c r="I47" s="5">
        <f>IF(A47="","",(F47*G47)/MAX(1,H47))</f>
        <v/>
      </c>
      <c r="J47" s="5">
        <f>IF(A47="","",NORMALIZED!M47)</f>
        <v/>
      </c>
      <c r="K47" s="5">
        <f>IF(A47="","",NORMALIZED!N47)</f>
        <v/>
      </c>
      <c r="L47" s="5">
        <f>IF(A47="","",NORMALIZED!O47)</f>
        <v/>
      </c>
      <c r="M47" s="5">
        <f>IF(A47="","",NORMALIZED!P47)</f>
        <v/>
      </c>
      <c r="N47" s="5">
        <f>IF(A47="","",(J47+K47+L47)/MAX(1,M47))</f>
        <v/>
      </c>
      <c r="O47" s="5">
        <f>IF(A47="","",RISK_ENGINE!M47)</f>
        <v/>
      </c>
      <c r="P47" s="5">
        <f>IF(A47="","",(60*I47)+(40*N47)-(0.5*O47))</f>
        <v/>
      </c>
      <c r="Q47" s="5">
        <f>IF(A47="","",RANK.EQ(P47,$P$4:$P$200,0))</f>
        <v/>
      </c>
      <c r="R47" s="5">
        <f>IF(A47="","",NORMALIZED!Q47)</f>
        <v/>
      </c>
      <c r="S47" s="5">
        <f>IF(A47="","","Owner: "&amp;D47&amp;" | "&amp;NORMALIZED!T47)</f>
        <v/>
      </c>
    </row>
    <row r="48">
      <c r="A48" s="5">
        <f>IFERROR(NORMALIZED!A48,"")</f>
        <v/>
      </c>
      <c r="B48" s="5">
        <f>IF(A48="","",NORMALIZED!B48)</f>
        <v/>
      </c>
      <c r="C48" s="5">
        <f>IF(A48="","",NORMALIZED!C48)</f>
        <v/>
      </c>
      <c r="D48" s="5">
        <f>IF(A48="","",NORMALIZED!F48)</f>
        <v/>
      </c>
      <c r="E48" s="5">
        <f>IF(A48="","",NORMALIZED!E48)</f>
        <v/>
      </c>
      <c r="F48" s="5">
        <f>IF(A48="","",NORMALIZED!J48)</f>
        <v/>
      </c>
      <c r="G48" s="17">
        <f>IF(A48="","",NORMALIZED!K48)</f>
        <v/>
      </c>
      <c r="H48" s="5">
        <f>IF(A48="","",NORMALIZED!L48)</f>
        <v/>
      </c>
      <c r="I48" s="5">
        <f>IF(A48="","",(F48*G48)/MAX(1,H48))</f>
        <v/>
      </c>
      <c r="J48" s="5">
        <f>IF(A48="","",NORMALIZED!M48)</f>
        <v/>
      </c>
      <c r="K48" s="5">
        <f>IF(A48="","",NORMALIZED!N48)</f>
        <v/>
      </c>
      <c r="L48" s="5">
        <f>IF(A48="","",NORMALIZED!O48)</f>
        <v/>
      </c>
      <c r="M48" s="5">
        <f>IF(A48="","",NORMALIZED!P48)</f>
        <v/>
      </c>
      <c r="N48" s="5">
        <f>IF(A48="","",(J48+K48+L48)/MAX(1,M48))</f>
        <v/>
      </c>
      <c r="O48" s="5">
        <f>IF(A48="","",RISK_ENGINE!M48)</f>
        <v/>
      </c>
      <c r="P48" s="5">
        <f>IF(A48="","",(60*I48)+(40*N48)-(0.5*O48))</f>
        <v/>
      </c>
      <c r="Q48" s="5">
        <f>IF(A48="","",RANK.EQ(P48,$P$4:$P$200,0))</f>
        <v/>
      </c>
      <c r="R48" s="5">
        <f>IF(A48="","",NORMALIZED!Q48)</f>
        <v/>
      </c>
      <c r="S48" s="5">
        <f>IF(A48="","","Owner: "&amp;D48&amp;" | "&amp;NORMALIZED!T48)</f>
        <v/>
      </c>
    </row>
    <row r="49">
      <c r="A49" s="5">
        <f>IFERROR(NORMALIZED!A49,"")</f>
        <v/>
      </c>
      <c r="B49" s="5">
        <f>IF(A49="","",NORMALIZED!B49)</f>
        <v/>
      </c>
      <c r="C49" s="5">
        <f>IF(A49="","",NORMALIZED!C49)</f>
        <v/>
      </c>
      <c r="D49" s="5">
        <f>IF(A49="","",NORMALIZED!F49)</f>
        <v/>
      </c>
      <c r="E49" s="5">
        <f>IF(A49="","",NORMALIZED!E49)</f>
        <v/>
      </c>
      <c r="F49" s="5">
        <f>IF(A49="","",NORMALIZED!J49)</f>
        <v/>
      </c>
      <c r="G49" s="17">
        <f>IF(A49="","",NORMALIZED!K49)</f>
        <v/>
      </c>
      <c r="H49" s="5">
        <f>IF(A49="","",NORMALIZED!L49)</f>
        <v/>
      </c>
      <c r="I49" s="5">
        <f>IF(A49="","",(F49*G49)/MAX(1,H49))</f>
        <v/>
      </c>
      <c r="J49" s="5">
        <f>IF(A49="","",NORMALIZED!M49)</f>
        <v/>
      </c>
      <c r="K49" s="5">
        <f>IF(A49="","",NORMALIZED!N49)</f>
        <v/>
      </c>
      <c r="L49" s="5">
        <f>IF(A49="","",NORMALIZED!O49)</f>
        <v/>
      </c>
      <c r="M49" s="5">
        <f>IF(A49="","",NORMALIZED!P49)</f>
        <v/>
      </c>
      <c r="N49" s="5">
        <f>IF(A49="","",(J49+K49+L49)/MAX(1,M49))</f>
        <v/>
      </c>
      <c r="O49" s="5">
        <f>IF(A49="","",RISK_ENGINE!M49)</f>
        <v/>
      </c>
      <c r="P49" s="5">
        <f>IF(A49="","",(60*I49)+(40*N49)-(0.5*O49))</f>
        <v/>
      </c>
      <c r="Q49" s="5">
        <f>IF(A49="","",RANK.EQ(P49,$P$4:$P$200,0))</f>
        <v/>
      </c>
      <c r="R49" s="5">
        <f>IF(A49="","",NORMALIZED!Q49)</f>
        <v/>
      </c>
      <c r="S49" s="5">
        <f>IF(A49="","","Owner: "&amp;D49&amp;" | "&amp;NORMALIZED!T49)</f>
        <v/>
      </c>
    </row>
    <row r="50">
      <c r="A50" s="5">
        <f>IFERROR(NORMALIZED!A50,"")</f>
        <v/>
      </c>
      <c r="B50" s="5">
        <f>IF(A50="","",NORMALIZED!B50)</f>
        <v/>
      </c>
      <c r="C50" s="5">
        <f>IF(A50="","",NORMALIZED!C50)</f>
        <v/>
      </c>
      <c r="D50" s="5">
        <f>IF(A50="","",NORMALIZED!F50)</f>
        <v/>
      </c>
      <c r="E50" s="5">
        <f>IF(A50="","",NORMALIZED!E50)</f>
        <v/>
      </c>
      <c r="F50" s="5">
        <f>IF(A50="","",NORMALIZED!J50)</f>
        <v/>
      </c>
      <c r="G50" s="17">
        <f>IF(A50="","",NORMALIZED!K50)</f>
        <v/>
      </c>
      <c r="H50" s="5">
        <f>IF(A50="","",NORMALIZED!L50)</f>
        <v/>
      </c>
      <c r="I50" s="5">
        <f>IF(A50="","",(F50*G50)/MAX(1,H50))</f>
        <v/>
      </c>
      <c r="J50" s="5">
        <f>IF(A50="","",NORMALIZED!M50)</f>
        <v/>
      </c>
      <c r="K50" s="5">
        <f>IF(A50="","",NORMALIZED!N50)</f>
        <v/>
      </c>
      <c r="L50" s="5">
        <f>IF(A50="","",NORMALIZED!O50)</f>
        <v/>
      </c>
      <c r="M50" s="5">
        <f>IF(A50="","",NORMALIZED!P50)</f>
        <v/>
      </c>
      <c r="N50" s="5">
        <f>IF(A50="","",(J50+K50+L50)/MAX(1,M50))</f>
        <v/>
      </c>
      <c r="O50" s="5">
        <f>IF(A50="","",RISK_ENGINE!M50)</f>
        <v/>
      </c>
      <c r="P50" s="5">
        <f>IF(A50="","",(60*I50)+(40*N50)-(0.5*O50))</f>
        <v/>
      </c>
      <c r="Q50" s="5">
        <f>IF(A50="","",RANK.EQ(P50,$P$4:$P$200,0))</f>
        <v/>
      </c>
      <c r="R50" s="5">
        <f>IF(A50="","",NORMALIZED!Q50)</f>
        <v/>
      </c>
      <c r="S50" s="5">
        <f>IF(A50="","","Owner: "&amp;D50&amp;" | "&amp;NORMALIZED!T50)</f>
        <v/>
      </c>
    </row>
    <row r="51">
      <c r="A51" s="5">
        <f>IFERROR(NORMALIZED!A51,"")</f>
        <v/>
      </c>
      <c r="B51" s="5">
        <f>IF(A51="","",NORMALIZED!B51)</f>
        <v/>
      </c>
      <c r="C51" s="5">
        <f>IF(A51="","",NORMALIZED!C51)</f>
        <v/>
      </c>
      <c r="D51" s="5">
        <f>IF(A51="","",NORMALIZED!F51)</f>
        <v/>
      </c>
      <c r="E51" s="5">
        <f>IF(A51="","",NORMALIZED!E51)</f>
        <v/>
      </c>
      <c r="F51" s="5">
        <f>IF(A51="","",NORMALIZED!J51)</f>
        <v/>
      </c>
      <c r="G51" s="17">
        <f>IF(A51="","",NORMALIZED!K51)</f>
        <v/>
      </c>
      <c r="H51" s="5">
        <f>IF(A51="","",NORMALIZED!L51)</f>
        <v/>
      </c>
      <c r="I51" s="5">
        <f>IF(A51="","",(F51*G51)/MAX(1,H51))</f>
        <v/>
      </c>
      <c r="J51" s="5">
        <f>IF(A51="","",NORMALIZED!M51)</f>
        <v/>
      </c>
      <c r="K51" s="5">
        <f>IF(A51="","",NORMALIZED!N51)</f>
        <v/>
      </c>
      <c r="L51" s="5">
        <f>IF(A51="","",NORMALIZED!O51)</f>
        <v/>
      </c>
      <c r="M51" s="5">
        <f>IF(A51="","",NORMALIZED!P51)</f>
        <v/>
      </c>
      <c r="N51" s="5">
        <f>IF(A51="","",(J51+K51+L51)/MAX(1,M51))</f>
        <v/>
      </c>
      <c r="O51" s="5">
        <f>IF(A51="","",RISK_ENGINE!M51)</f>
        <v/>
      </c>
      <c r="P51" s="5">
        <f>IF(A51="","",(60*I51)+(40*N51)-(0.5*O51))</f>
        <v/>
      </c>
      <c r="Q51" s="5">
        <f>IF(A51="","",RANK.EQ(P51,$P$4:$P$200,0))</f>
        <v/>
      </c>
      <c r="R51" s="5">
        <f>IF(A51="","",NORMALIZED!Q51)</f>
        <v/>
      </c>
      <c r="S51" s="5">
        <f>IF(A51="","","Owner: "&amp;D51&amp;" | "&amp;NORMALIZED!T51)</f>
        <v/>
      </c>
    </row>
    <row r="52">
      <c r="A52" s="5">
        <f>IFERROR(NORMALIZED!A52,"")</f>
        <v/>
      </c>
      <c r="B52" s="5">
        <f>IF(A52="","",NORMALIZED!B52)</f>
        <v/>
      </c>
      <c r="C52" s="5">
        <f>IF(A52="","",NORMALIZED!C52)</f>
        <v/>
      </c>
      <c r="D52" s="5">
        <f>IF(A52="","",NORMALIZED!F52)</f>
        <v/>
      </c>
      <c r="E52" s="5">
        <f>IF(A52="","",NORMALIZED!E52)</f>
        <v/>
      </c>
      <c r="F52" s="5">
        <f>IF(A52="","",NORMALIZED!J52)</f>
        <v/>
      </c>
      <c r="G52" s="17">
        <f>IF(A52="","",NORMALIZED!K52)</f>
        <v/>
      </c>
      <c r="H52" s="5">
        <f>IF(A52="","",NORMALIZED!L52)</f>
        <v/>
      </c>
      <c r="I52" s="5">
        <f>IF(A52="","",(F52*G52)/MAX(1,H52))</f>
        <v/>
      </c>
      <c r="J52" s="5">
        <f>IF(A52="","",NORMALIZED!M52)</f>
        <v/>
      </c>
      <c r="K52" s="5">
        <f>IF(A52="","",NORMALIZED!N52)</f>
        <v/>
      </c>
      <c r="L52" s="5">
        <f>IF(A52="","",NORMALIZED!O52)</f>
        <v/>
      </c>
      <c r="M52" s="5">
        <f>IF(A52="","",NORMALIZED!P52)</f>
        <v/>
      </c>
      <c r="N52" s="5">
        <f>IF(A52="","",(J52+K52+L52)/MAX(1,M52))</f>
        <v/>
      </c>
      <c r="O52" s="5">
        <f>IF(A52="","",RISK_ENGINE!M52)</f>
        <v/>
      </c>
      <c r="P52" s="5">
        <f>IF(A52="","",(60*I52)+(40*N52)-(0.5*O52))</f>
        <v/>
      </c>
      <c r="Q52" s="5">
        <f>IF(A52="","",RANK.EQ(P52,$P$4:$P$200,0))</f>
        <v/>
      </c>
      <c r="R52" s="5">
        <f>IF(A52="","",NORMALIZED!Q52)</f>
        <v/>
      </c>
      <c r="S52" s="5">
        <f>IF(A52="","","Owner: "&amp;D52&amp;" | "&amp;NORMALIZED!T52)</f>
        <v/>
      </c>
    </row>
    <row r="53">
      <c r="A53" s="5">
        <f>IFERROR(NORMALIZED!A53,"")</f>
        <v/>
      </c>
      <c r="B53" s="5">
        <f>IF(A53="","",NORMALIZED!B53)</f>
        <v/>
      </c>
      <c r="C53" s="5">
        <f>IF(A53="","",NORMALIZED!C53)</f>
        <v/>
      </c>
      <c r="D53" s="5">
        <f>IF(A53="","",NORMALIZED!F53)</f>
        <v/>
      </c>
      <c r="E53" s="5">
        <f>IF(A53="","",NORMALIZED!E53)</f>
        <v/>
      </c>
      <c r="F53" s="5">
        <f>IF(A53="","",NORMALIZED!J53)</f>
        <v/>
      </c>
      <c r="G53" s="17">
        <f>IF(A53="","",NORMALIZED!K53)</f>
        <v/>
      </c>
      <c r="H53" s="5">
        <f>IF(A53="","",NORMALIZED!L53)</f>
        <v/>
      </c>
      <c r="I53" s="5">
        <f>IF(A53="","",(F53*G53)/MAX(1,H53))</f>
        <v/>
      </c>
      <c r="J53" s="5">
        <f>IF(A53="","",NORMALIZED!M53)</f>
        <v/>
      </c>
      <c r="K53" s="5">
        <f>IF(A53="","",NORMALIZED!N53)</f>
        <v/>
      </c>
      <c r="L53" s="5">
        <f>IF(A53="","",NORMALIZED!O53)</f>
        <v/>
      </c>
      <c r="M53" s="5">
        <f>IF(A53="","",NORMALIZED!P53)</f>
        <v/>
      </c>
      <c r="N53" s="5">
        <f>IF(A53="","",(J53+K53+L53)/MAX(1,M53))</f>
        <v/>
      </c>
      <c r="O53" s="5">
        <f>IF(A53="","",RISK_ENGINE!M53)</f>
        <v/>
      </c>
      <c r="P53" s="5">
        <f>IF(A53="","",(60*I53)+(40*N53)-(0.5*O53))</f>
        <v/>
      </c>
      <c r="Q53" s="5">
        <f>IF(A53="","",RANK.EQ(P53,$P$4:$P$200,0))</f>
        <v/>
      </c>
      <c r="R53" s="5">
        <f>IF(A53="","",NORMALIZED!Q53)</f>
        <v/>
      </c>
      <c r="S53" s="5">
        <f>IF(A53="","","Owner: "&amp;D53&amp;" | "&amp;NORMALIZED!T53)</f>
        <v/>
      </c>
    </row>
    <row r="54">
      <c r="A54" s="5">
        <f>IFERROR(NORMALIZED!A54,"")</f>
        <v/>
      </c>
      <c r="B54" s="5">
        <f>IF(A54="","",NORMALIZED!B54)</f>
        <v/>
      </c>
      <c r="C54" s="5">
        <f>IF(A54="","",NORMALIZED!C54)</f>
        <v/>
      </c>
      <c r="D54" s="5">
        <f>IF(A54="","",NORMALIZED!F54)</f>
        <v/>
      </c>
      <c r="E54" s="5">
        <f>IF(A54="","",NORMALIZED!E54)</f>
        <v/>
      </c>
      <c r="F54" s="5">
        <f>IF(A54="","",NORMALIZED!J54)</f>
        <v/>
      </c>
      <c r="G54" s="17">
        <f>IF(A54="","",NORMALIZED!K54)</f>
        <v/>
      </c>
      <c r="H54" s="5">
        <f>IF(A54="","",NORMALIZED!L54)</f>
        <v/>
      </c>
      <c r="I54" s="5">
        <f>IF(A54="","",(F54*G54)/MAX(1,H54))</f>
        <v/>
      </c>
      <c r="J54" s="5">
        <f>IF(A54="","",NORMALIZED!M54)</f>
        <v/>
      </c>
      <c r="K54" s="5">
        <f>IF(A54="","",NORMALIZED!N54)</f>
        <v/>
      </c>
      <c r="L54" s="5">
        <f>IF(A54="","",NORMALIZED!O54)</f>
        <v/>
      </c>
      <c r="M54" s="5">
        <f>IF(A54="","",NORMALIZED!P54)</f>
        <v/>
      </c>
      <c r="N54" s="5">
        <f>IF(A54="","",(J54+K54+L54)/MAX(1,M54))</f>
        <v/>
      </c>
      <c r="O54" s="5">
        <f>IF(A54="","",RISK_ENGINE!M54)</f>
        <v/>
      </c>
      <c r="P54" s="5">
        <f>IF(A54="","",(60*I54)+(40*N54)-(0.5*O54))</f>
        <v/>
      </c>
      <c r="Q54" s="5">
        <f>IF(A54="","",RANK.EQ(P54,$P$4:$P$200,0))</f>
        <v/>
      </c>
      <c r="R54" s="5">
        <f>IF(A54="","",NORMALIZED!Q54)</f>
        <v/>
      </c>
      <c r="S54" s="5">
        <f>IF(A54="","","Owner: "&amp;D54&amp;" | "&amp;NORMALIZED!T54)</f>
        <v/>
      </c>
    </row>
    <row r="55">
      <c r="A55" s="5">
        <f>IFERROR(NORMALIZED!A55,"")</f>
        <v/>
      </c>
      <c r="B55" s="5">
        <f>IF(A55="","",NORMALIZED!B55)</f>
        <v/>
      </c>
      <c r="C55" s="5">
        <f>IF(A55="","",NORMALIZED!C55)</f>
        <v/>
      </c>
      <c r="D55" s="5">
        <f>IF(A55="","",NORMALIZED!F55)</f>
        <v/>
      </c>
      <c r="E55" s="5">
        <f>IF(A55="","",NORMALIZED!E55)</f>
        <v/>
      </c>
      <c r="F55" s="5">
        <f>IF(A55="","",NORMALIZED!J55)</f>
        <v/>
      </c>
      <c r="G55" s="17">
        <f>IF(A55="","",NORMALIZED!K55)</f>
        <v/>
      </c>
      <c r="H55" s="5">
        <f>IF(A55="","",NORMALIZED!L55)</f>
        <v/>
      </c>
      <c r="I55" s="5">
        <f>IF(A55="","",(F55*G55)/MAX(1,H55))</f>
        <v/>
      </c>
      <c r="J55" s="5">
        <f>IF(A55="","",NORMALIZED!M55)</f>
        <v/>
      </c>
      <c r="K55" s="5">
        <f>IF(A55="","",NORMALIZED!N55)</f>
        <v/>
      </c>
      <c r="L55" s="5">
        <f>IF(A55="","",NORMALIZED!O55)</f>
        <v/>
      </c>
      <c r="M55" s="5">
        <f>IF(A55="","",NORMALIZED!P55)</f>
        <v/>
      </c>
      <c r="N55" s="5">
        <f>IF(A55="","",(J55+K55+L55)/MAX(1,M55))</f>
        <v/>
      </c>
      <c r="O55" s="5">
        <f>IF(A55="","",RISK_ENGINE!M55)</f>
        <v/>
      </c>
      <c r="P55" s="5">
        <f>IF(A55="","",(60*I55)+(40*N55)-(0.5*O55))</f>
        <v/>
      </c>
      <c r="Q55" s="5">
        <f>IF(A55="","",RANK.EQ(P55,$P$4:$P$200,0))</f>
        <v/>
      </c>
      <c r="R55" s="5">
        <f>IF(A55="","",NORMALIZED!Q55)</f>
        <v/>
      </c>
      <c r="S55" s="5">
        <f>IF(A55="","","Owner: "&amp;D55&amp;" | "&amp;NORMALIZED!T55)</f>
        <v/>
      </c>
    </row>
    <row r="56">
      <c r="A56" s="5">
        <f>IFERROR(NORMALIZED!A56,"")</f>
        <v/>
      </c>
      <c r="B56" s="5">
        <f>IF(A56="","",NORMALIZED!B56)</f>
        <v/>
      </c>
      <c r="C56" s="5">
        <f>IF(A56="","",NORMALIZED!C56)</f>
        <v/>
      </c>
      <c r="D56" s="5">
        <f>IF(A56="","",NORMALIZED!F56)</f>
        <v/>
      </c>
      <c r="E56" s="5">
        <f>IF(A56="","",NORMALIZED!E56)</f>
        <v/>
      </c>
      <c r="F56" s="5">
        <f>IF(A56="","",NORMALIZED!J56)</f>
        <v/>
      </c>
      <c r="G56" s="17">
        <f>IF(A56="","",NORMALIZED!K56)</f>
        <v/>
      </c>
      <c r="H56" s="5">
        <f>IF(A56="","",NORMALIZED!L56)</f>
        <v/>
      </c>
      <c r="I56" s="5">
        <f>IF(A56="","",(F56*G56)/MAX(1,H56))</f>
        <v/>
      </c>
      <c r="J56" s="5">
        <f>IF(A56="","",NORMALIZED!M56)</f>
        <v/>
      </c>
      <c r="K56" s="5">
        <f>IF(A56="","",NORMALIZED!N56)</f>
        <v/>
      </c>
      <c r="L56" s="5">
        <f>IF(A56="","",NORMALIZED!O56)</f>
        <v/>
      </c>
      <c r="M56" s="5">
        <f>IF(A56="","",NORMALIZED!P56)</f>
        <v/>
      </c>
      <c r="N56" s="5">
        <f>IF(A56="","",(J56+K56+L56)/MAX(1,M56))</f>
        <v/>
      </c>
      <c r="O56" s="5">
        <f>IF(A56="","",RISK_ENGINE!M56)</f>
        <v/>
      </c>
      <c r="P56" s="5">
        <f>IF(A56="","",(60*I56)+(40*N56)-(0.5*O56))</f>
        <v/>
      </c>
      <c r="Q56" s="5">
        <f>IF(A56="","",RANK.EQ(P56,$P$4:$P$200,0))</f>
        <v/>
      </c>
      <c r="R56" s="5">
        <f>IF(A56="","",NORMALIZED!Q56)</f>
        <v/>
      </c>
      <c r="S56" s="5">
        <f>IF(A56="","","Owner: "&amp;D56&amp;" | "&amp;NORMALIZED!T56)</f>
        <v/>
      </c>
    </row>
    <row r="57">
      <c r="A57" s="5">
        <f>IFERROR(NORMALIZED!A57,"")</f>
        <v/>
      </c>
      <c r="B57" s="5">
        <f>IF(A57="","",NORMALIZED!B57)</f>
        <v/>
      </c>
      <c r="C57" s="5">
        <f>IF(A57="","",NORMALIZED!C57)</f>
        <v/>
      </c>
      <c r="D57" s="5">
        <f>IF(A57="","",NORMALIZED!F57)</f>
        <v/>
      </c>
      <c r="E57" s="5">
        <f>IF(A57="","",NORMALIZED!E57)</f>
        <v/>
      </c>
      <c r="F57" s="5">
        <f>IF(A57="","",NORMALIZED!J57)</f>
        <v/>
      </c>
      <c r="G57" s="17">
        <f>IF(A57="","",NORMALIZED!K57)</f>
        <v/>
      </c>
      <c r="H57" s="5">
        <f>IF(A57="","",NORMALIZED!L57)</f>
        <v/>
      </c>
      <c r="I57" s="5">
        <f>IF(A57="","",(F57*G57)/MAX(1,H57))</f>
        <v/>
      </c>
      <c r="J57" s="5">
        <f>IF(A57="","",NORMALIZED!M57)</f>
        <v/>
      </c>
      <c r="K57" s="5">
        <f>IF(A57="","",NORMALIZED!N57)</f>
        <v/>
      </c>
      <c r="L57" s="5">
        <f>IF(A57="","",NORMALIZED!O57)</f>
        <v/>
      </c>
      <c r="M57" s="5">
        <f>IF(A57="","",NORMALIZED!P57)</f>
        <v/>
      </c>
      <c r="N57" s="5">
        <f>IF(A57="","",(J57+K57+L57)/MAX(1,M57))</f>
        <v/>
      </c>
      <c r="O57" s="5">
        <f>IF(A57="","",RISK_ENGINE!M57)</f>
        <v/>
      </c>
      <c r="P57" s="5">
        <f>IF(A57="","",(60*I57)+(40*N57)-(0.5*O57))</f>
        <v/>
      </c>
      <c r="Q57" s="5">
        <f>IF(A57="","",RANK.EQ(P57,$P$4:$P$200,0))</f>
        <v/>
      </c>
      <c r="R57" s="5">
        <f>IF(A57="","",NORMALIZED!Q57)</f>
        <v/>
      </c>
      <c r="S57" s="5">
        <f>IF(A57="","","Owner: "&amp;D57&amp;" | "&amp;NORMALIZED!T57)</f>
        <v/>
      </c>
    </row>
    <row r="58">
      <c r="A58" s="5">
        <f>IFERROR(NORMALIZED!A58,"")</f>
        <v/>
      </c>
      <c r="B58" s="5">
        <f>IF(A58="","",NORMALIZED!B58)</f>
        <v/>
      </c>
      <c r="C58" s="5">
        <f>IF(A58="","",NORMALIZED!C58)</f>
        <v/>
      </c>
      <c r="D58" s="5">
        <f>IF(A58="","",NORMALIZED!F58)</f>
        <v/>
      </c>
      <c r="E58" s="5">
        <f>IF(A58="","",NORMALIZED!E58)</f>
        <v/>
      </c>
      <c r="F58" s="5">
        <f>IF(A58="","",NORMALIZED!J58)</f>
        <v/>
      </c>
      <c r="G58" s="17">
        <f>IF(A58="","",NORMALIZED!K58)</f>
        <v/>
      </c>
      <c r="H58" s="5">
        <f>IF(A58="","",NORMALIZED!L58)</f>
        <v/>
      </c>
      <c r="I58" s="5">
        <f>IF(A58="","",(F58*G58)/MAX(1,H58))</f>
        <v/>
      </c>
      <c r="J58" s="5">
        <f>IF(A58="","",NORMALIZED!M58)</f>
        <v/>
      </c>
      <c r="K58" s="5">
        <f>IF(A58="","",NORMALIZED!N58)</f>
        <v/>
      </c>
      <c r="L58" s="5">
        <f>IF(A58="","",NORMALIZED!O58)</f>
        <v/>
      </c>
      <c r="M58" s="5">
        <f>IF(A58="","",NORMALIZED!P58)</f>
        <v/>
      </c>
      <c r="N58" s="5">
        <f>IF(A58="","",(J58+K58+L58)/MAX(1,M58))</f>
        <v/>
      </c>
      <c r="O58" s="5">
        <f>IF(A58="","",RISK_ENGINE!M58)</f>
        <v/>
      </c>
      <c r="P58" s="5">
        <f>IF(A58="","",(60*I58)+(40*N58)-(0.5*O58))</f>
        <v/>
      </c>
      <c r="Q58" s="5">
        <f>IF(A58="","",RANK.EQ(P58,$P$4:$P$200,0))</f>
        <v/>
      </c>
      <c r="R58" s="5">
        <f>IF(A58="","",NORMALIZED!Q58)</f>
        <v/>
      </c>
      <c r="S58" s="5">
        <f>IF(A58="","","Owner: "&amp;D58&amp;" | "&amp;NORMALIZED!T58)</f>
        <v/>
      </c>
    </row>
    <row r="59">
      <c r="A59" s="5">
        <f>IFERROR(NORMALIZED!A59,"")</f>
        <v/>
      </c>
      <c r="B59" s="5">
        <f>IF(A59="","",NORMALIZED!B59)</f>
        <v/>
      </c>
      <c r="C59" s="5">
        <f>IF(A59="","",NORMALIZED!C59)</f>
        <v/>
      </c>
      <c r="D59" s="5">
        <f>IF(A59="","",NORMALIZED!F59)</f>
        <v/>
      </c>
      <c r="E59" s="5">
        <f>IF(A59="","",NORMALIZED!E59)</f>
        <v/>
      </c>
      <c r="F59" s="5">
        <f>IF(A59="","",NORMALIZED!J59)</f>
        <v/>
      </c>
      <c r="G59" s="17">
        <f>IF(A59="","",NORMALIZED!K59)</f>
        <v/>
      </c>
      <c r="H59" s="5">
        <f>IF(A59="","",NORMALIZED!L59)</f>
        <v/>
      </c>
      <c r="I59" s="5">
        <f>IF(A59="","",(F59*G59)/MAX(1,H59))</f>
        <v/>
      </c>
      <c r="J59" s="5">
        <f>IF(A59="","",NORMALIZED!M59)</f>
        <v/>
      </c>
      <c r="K59" s="5">
        <f>IF(A59="","",NORMALIZED!N59)</f>
        <v/>
      </c>
      <c r="L59" s="5">
        <f>IF(A59="","",NORMALIZED!O59)</f>
        <v/>
      </c>
      <c r="M59" s="5">
        <f>IF(A59="","",NORMALIZED!P59)</f>
        <v/>
      </c>
      <c r="N59" s="5">
        <f>IF(A59="","",(J59+K59+L59)/MAX(1,M59))</f>
        <v/>
      </c>
      <c r="O59" s="5">
        <f>IF(A59="","",RISK_ENGINE!M59)</f>
        <v/>
      </c>
      <c r="P59" s="5">
        <f>IF(A59="","",(60*I59)+(40*N59)-(0.5*O59))</f>
        <v/>
      </c>
      <c r="Q59" s="5">
        <f>IF(A59="","",RANK.EQ(P59,$P$4:$P$200,0))</f>
        <v/>
      </c>
      <c r="R59" s="5">
        <f>IF(A59="","",NORMALIZED!Q59)</f>
        <v/>
      </c>
      <c r="S59" s="5">
        <f>IF(A59="","","Owner: "&amp;D59&amp;" | "&amp;NORMALIZED!T59)</f>
        <v/>
      </c>
    </row>
    <row r="60">
      <c r="A60" s="5">
        <f>IFERROR(NORMALIZED!A60,"")</f>
        <v/>
      </c>
      <c r="B60" s="5">
        <f>IF(A60="","",NORMALIZED!B60)</f>
        <v/>
      </c>
      <c r="C60" s="5">
        <f>IF(A60="","",NORMALIZED!C60)</f>
        <v/>
      </c>
      <c r="D60" s="5">
        <f>IF(A60="","",NORMALIZED!F60)</f>
        <v/>
      </c>
      <c r="E60" s="5">
        <f>IF(A60="","",NORMALIZED!E60)</f>
        <v/>
      </c>
      <c r="F60" s="5">
        <f>IF(A60="","",NORMALIZED!J60)</f>
        <v/>
      </c>
      <c r="G60" s="17">
        <f>IF(A60="","",NORMALIZED!K60)</f>
        <v/>
      </c>
      <c r="H60" s="5">
        <f>IF(A60="","",NORMALIZED!L60)</f>
        <v/>
      </c>
      <c r="I60" s="5">
        <f>IF(A60="","",(F60*G60)/MAX(1,H60))</f>
        <v/>
      </c>
      <c r="J60" s="5">
        <f>IF(A60="","",NORMALIZED!M60)</f>
        <v/>
      </c>
      <c r="K60" s="5">
        <f>IF(A60="","",NORMALIZED!N60)</f>
        <v/>
      </c>
      <c r="L60" s="5">
        <f>IF(A60="","",NORMALIZED!O60)</f>
        <v/>
      </c>
      <c r="M60" s="5">
        <f>IF(A60="","",NORMALIZED!P60)</f>
        <v/>
      </c>
      <c r="N60" s="5">
        <f>IF(A60="","",(J60+K60+L60)/MAX(1,M60))</f>
        <v/>
      </c>
      <c r="O60" s="5">
        <f>IF(A60="","",RISK_ENGINE!M60)</f>
        <v/>
      </c>
      <c r="P60" s="5">
        <f>IF(A60="","",(60*I60)+(40*N60)-(0.5*O60))</f>
        <v/>
      </c>
      <c r="Q60" s="5">
        <f>IF(A60="","",RANK.EQ(P60,$P$4:$P$200,0))</f>
        <v/>
      </c>
      <c r="R60" s="5">
        <f>IF(A60="","",NORMALIZED!Q60)</f>
        <v/>
      </c>
      <c r="S60" s="5">
        <f>IF(A60="","","Owner: "&amp;D60&amp;" | "&amp;NORMALIZED!T60)</f>
        <v/>
      </c>
    </row>
    <row r="61">
      <c r="A61" s="5" t="n"/>
      <c r="B61" s="5" t="n"/>
      <c r="C61" s="5" t="n"/>
      <c r="D61" s="5" t="n"/>
      <c r="E61" s="5" t="n"/>
      <c r="F61" s="5" t="n"/>
      <c r="G61" s="17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</row>
    <row r="62">
      <c r="A62" s="5" t="n"/>
      <c r="B62" s="5" t="n"/>
      <c r="C62" s="5" t="n"/>
      <c r="D62" s="5" t="n"/>
      <c r="E62" s="5" t="n"/>
      <c r="F62" s="5" t="n"/>
      <c r="G62" s="17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</row>
    <row r="63">
      <c r="A63" s="5" t="n"/>
      <c r="B63" s="5" t="n"/>
      <c r="C63" s="5" t="n"/>
      <c r="D63" s="5" t="n"/>
      <c r="E63" s="5" t="n"/>
      <c r="F63" s="5" t="n"/>
      <c r="G63" s="17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</row>
    <row r="64">
      <c r="A64" s="5" t="n"/>
      <c r="B64" s="5" t="n"/>
      <c r="C64" s="5" t="n"/>
      <c r="D64" s="5" t="n"/>
      <c r="E64" s="5" t="n"/>
      <c r="F64" s="5" t="n"/>
      <c r="G64" s="17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</row>
    <row r="65">
      <c r="A65" s="5" t="n"/>
      <c r="B65" s="5" t="n"/>
      <c r="C65" s="5" t="n"/>
      <c r="D65" s="5" t="n"/>
      <c r="E65" s="5" t="n"/>
      <c r="F65" s="5" t="n"/>
      <c r="G65" s="17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</row>
    <row r="66">
      <c r="A66" s="5" t="n"/>
      <c r="B66" s="5" t="n"/>
      <c r="C66" s="5" t="n"/>
      <c r="D66" s="5" t="n"/>
      <c r="E66" s="5" t="n"/>
      <c r="F66" s="5" t="n"/>
      <c r="G66" s="17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A67" s="5" t="n"/>
      <c r="B67" s="5" t="n"/>
      <c r="C67" s="5" t="n"/>
      <c r="D67" s="5" t="n"/>
      <c r="E67" s="5" t="n"/>
      <c r="F67" s="5" t="n"/>
      <c r="G67" s="17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</row>
    <row r="68">
      <c r="A68" s="5" t="n"/>
      <c r="B68" s="5" t="n"/>
      <c r="C68" s="5" t="n"/>
      <c r="D68" s="5" t="n"/>
      <c r="E68" s="5" t="n"/>
      <c r="F68" s="5" t="n"/>
      <c r="G68" s="17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A69" s="5" t="n"/>
      <c r="B69" s="5" t="n"/>
      <c r="C69" s="5" t="n"/>
      <c r="D69" s="5" t="n"/>
      <c r="E69" s="5" t="n"/>
      <c r="F69" s="5" t="n"/>
      <c r="G69" s="17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</row>
    <row r="70">
      <c r="A70" s="5" t="n"/>
      <c r="B70" s="5" t="n"/>
      <c r="C70" s="5" t="n"/>
      <c r="D70" s="5" t="n"/>
      <c r="E70" s="5" t="n"/>
      <c r="F70" s="5" t="n"/>
      <c r="G70" s="17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>
      <c r="A71" s="5" t="n"/>
      <c r="B71" s="5" t="n"/>
      <c r="C71" s="5" t="n"/>
      <c r="D71" s="5" t="n"/>
      <c r="E71" s="5" t="n"/>
      <c r="F71" s="5" t="n"/>
      <c r="G71" s="17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</row>
    <row r="72">
      <c r="A72" s="5" t="n"/>
      <c r="B72" s="5" t="n"/>
      <c r="C72" s="5" t="n"/>
      <c r="D72" s="5" t="n"/>
      <c r="E72" s="5" t="n"/>
      <c r="F72" s="5" t="n"/>
      <c r="G72" s="17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>
      <c r="A73" s="5" t="n"/>
      <c r="B73" s="5" t="n"/>
      <c r="C73" s="5" t="n"/>
      <c r="D73" s="5" t="n"/>
      <c r="E73" s="5" t="n"/>
      <c r="F73" s="5" t="n"/>
      <c r="G73" s="17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</row>
    <row r="74">
      <c r="A74" s="5" t="n"/>
      <c r="B74" s="5" t="n"/>
      <c r="C74" s="5" t="n"/>
      <c r="D74" s="5" t="n"/>
      <c r="E74" s="5" t="n"/>
      <c r="F74" s="5" t="n"/>
      <c r="G74" s="17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>
      <c r="A75" s="5" t="n"/>
      <c r="B75" s="5" t="n"/>
      <c r="C75" s="5" t="n"/>
      <c r="D75" s="5" t="n"/>
      <c r="E75" s="5" t="n"/>
      <c r="F75" s="5" t="n"/>
      <c r="G75" s="17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</row>
    <row r="76">
      <c r="A76" s="5" t="n"/>
      <c r="B76" s="5" t="n"/>
      <c r="C76" s="5" t="n"/>
      <c r="D76" s="5" t="n"/>
      <c r="E76" s="5" t="n"/>
      <c r="F76" s="5" t="n"/>
      <c r="G76" s="17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>
      <c r="A77" s="5" t="n"/>
      <c r="B77" s="5" t="n"/>
      <c r="C77" s="5" t="n"/>
      <c r="D77" s="5" t="n"/>
      <c r="E77" s="5" t="n"/>
      <c r="F77" s="5" t="n"/>
      <c r="G77" s="17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</row>
    <row r="78">
      <c r="A78" s="5" t="n"/>
      <c r="B78" s="5" t="n"/>
      <c r="C78" s="5" t="n"/>
      <c r="D78" s="5" t="n"/>
      <c r="E78" s="5" t="n"/>
      <c r="F78" s="5" t="n"/>
      <c r="G78" s="17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>
      <c r="A79" s="5" t="n"/>
      <c r="B79" s="5" t="n"/>
      <c r="C79" s="5" t="n"/>
      <c r="D79" s="5" t="n"/>
      <c r="E79" s="5" t="n"/>
      <c r="F79" s="5" t="n"/>
      <c r="G79" s="17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</row>
    <row r="80">
      <c r="A80" s="5" t="n"/>
      <c r="B80" s="5" t="n"/>
      <c r="C80" s="5" t="n"/>
      <c r="D80" s="5" t="n"/>
      <c r="E80" s="5" t="n"/>
      <c r="F80" s="5" t="n"/>
      <c r="G80" s="17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A81" s="5" t="n"/>
      <c r="B81" s="5" t="n"/>
      <c r="C81" s="5" t="n"/>
      <c r="D81" s="5" t="n"/>
      <c r="E81" s="5" t="n"/>
      <c r="F81" s="5" t="n"/>
      <c r="G81" s="17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>
      <c r="A82" s="5" t="n"/>
      <c r="B82" s="5" t="n"/>
      <c r="C82" s="5" t="n"/>
      <c r="D82" s="5" t="n"/>
      <c r="E82" s="5" t="n"/>
      <c r="F82" s="5" t="n"/>
      <c r="G82" s="17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A83" s="5" t="n"/>
      <c r="B83" s="5" t="n"/>
      <c r="C83" s="5" t="n"/>
      <c r="D83" s="5" t="n"/>
      <c r="E83" s="5" t="n"/>
      <c r="F83" s="5" t="n"/>
      <c r="G83" s="17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</row>
    <row r="84">
      <c r="A84" s="5" t="n"/>
      <c r="B84" s="5" t="n"/>
      <c r="C84" s="5" t="n"/>
      <c r="D84" s="5" t="n"/>
      <c r="E84" s="5" t="n"/>
      <c r="F84" s="5" t="n"/>
      <c r="G84" s="17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A85" s="5" t="n"/>
      <c r="B85" s="5" t="n"/>
      <c r="C85" s="5" t="n"/>
      <c r="D85" s="5" t="n"/>
      <c r="E85" s="5" t="n"/>
      <c r="F85" s="5" t="n"/>
      <c r="G85" s="17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</row>
    <row r="86">
      <c r="A86" s="5" t="n"/>
      <c r="B86" s="5" t="n"/>
      <c r="C86" s="5" t="n"/>
      <c r="D86" s="5" t="n"/>
      <c r="E86" s="5" t="n"/>
      <c r="F86" s="5" t="n"/>
      <c r="G86" s="17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>
      <c r="A87" s="5" t="n"/>
      <c r="B87" s="5" t="n"/>
      <c r="C87" s="5" t="n"/>
      <c r="D87" s="5" t="n"/>
      <c r="E87" s="5" t="n"/>
      <c r="F87" s="5" t="n"/>
      <c r="G87" s="17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</row>
    <row r="88">
      <c r="A88" s="5" t="n"/>
      <c r="B88" s="5" t="n"/>
      <c r="C88" s="5" t="n"/>
      <c r="D88" s="5" t="n"/>
      <c r="E88" s="5" t="n"/>
      <c r="F88" s="5" t="n"/>
      <c r="G88" s="17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</row>
    <row r="89">
      <c r="A89" s="5" t="n"/>
      <c r="B89" s="5" t="n"/>
      <c r="C89" s="5" t="n"/>
      <c r="D89" s="5" t="n"/>
      <c r="E89" s="5" t="n"/>
      <c r="F89" s="5" t="n"/>
      <c r="G89" s="17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</row>
    <row r="90">
      <c r="A90" s="5" t="n"/>
      <c r="B90" s="5" t="n"/>
      <c r="C90" s="5" t="n"/>
      <c r="D90" s="5" t="n"/>
      <c r="E90" s="5" t="n"/>
      <c r="F90" s="5" t="n"/>
      <c r="G90" s="17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</row>
    <row r="91">
      <c r="A91" s="5" t="n"/>
      <c r="B91" s="5" t="n"/>
      <c r="C91" s="5" t="n"/>
      <c r="D91" s="5" t="n"/>
      <c r="E91" s="5" t="n"/>
      <c r="F91" s="5" t="n"/>
      <c r="G91" s="17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</row>
    <row r="92">
      <c r="A92" s="5" t="n"/>
      <c r="B92" s="5" t="n"/>
      <c r="C92" s="5" t="n"/>
      <c r="D92" s="5" t="n"/>
      <c r="E92" s="5" t="n"/>
      <c r="F92" s="5" t="n"/>
      <c r="G92" s="17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</row>
    <row r="93">
      <c r="A93" s="5" t="n"/>
      <c r="B93" s="5" t="n"/>
      <c r="C93" s="5" t="n"/>
      <c r="D93" s="5" t="n"/>
      <c r="E93" s="5" t="n"/>
      <c r="F93" s="5" t="n"/>
      <c r="G93" s="17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</row>
    <row r="94">
      <c r="A94" s="5" t="n"/>
      <c r="B94" s="5" t="n"/>
      <c r="C94" s="5" t="n"/>
      <c r="D94" s="5" t="n"/>
      <c r="E94" s="5" t="n"/>
      <c r="F94" s="5" t="n"/>
      <c r="G94" s="17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</row>
    <row r="95">
      <c r="A95" s="5" t="n"/>
      <c r="B95" s="5" t="n"/>
      <c r="C95" s="5" t="n"/>
      <c r="D95" s="5" t="n"/>
      <c r="E95" s="5" t="n"/>
      <c r="F95" s="5" t="n"/>
      <c r="G95" s="17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</row>
    <row r="96">
      <c r="A96" s="5" t="n"/>
      <c r="B96" s="5" t="n"/>
      <c r="C96" s="5" t="n"/>
      <c r="D96" s="5" t="n"/>
      <c r="E96" s="5" t="n"/>
      <c r="F96" s="5" t="n"/>
      <c r="G96" s="17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>
      <c r="A97" s="5" t="n"/>
      <c r="B97" s="5" t="n"/>
      <c r="C97" s="5" t="n"/>
      <c r="D97" s="5" t="n"/>
      <c r="E97" s="5" t="n"/>
      <c r="F97" s="5" t="n"/>
      <c r="G97" s="17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</row>
    <row r="98">
      <c r="A98" s="5" t="n"/>
      <c r="B98" s="5" t="n"/>
      <c r="C98" s="5" t="n"/>
      <c r="D98" s="5" t="n"/>
      <c r="E98" s="5" t="n"/>
      <c r="F98" s="5" t="n"/>
      <c r="G98" s="17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</row>
    <row r="99">
      <c r="A99" s="5" t="n"/>
      <c r="B99" s="5" t="n"/>
      <c r="C99" s="5" t="n"/>
      <c r="D99" s="5" t="n"/>
      <c r="E99" s="5" t="n"/>
      <c r="F99" s="5" t="n"/>
      <c r="G99" s="17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</row>
    <row r="100">
      <c r="A100" s="5" t="n"/>
      <c r="B100" s="5" t="n"/>
      <c r="C100" s="5" t="n"/>
      <c r="D100" s="5" t="n"/>
      <c r="E100" s="5" t="n"/>
      <c r="F100" s="5" t="n"/>
      <c r="G100" s="17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</row>
    <row r="101">
      <c r="A101" s="5" t="n"/>
      <c r="B101" s="5" t="n"/>
      <c r="C101" s="5" t="n"/>
      <c r="D101" s="5" t="n"/>
      <c r="E101" s="5" t="n"/>
      <c r="F101" s="5" t="n"/>
      <c r="G101" s="17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</row>
    <row r="102">
      <c r="A102" s="5" t="n"/>
      <c r="B102" s="5" t="n"/>
      <c r="C102" s="5" t="n"/>
      <c r="D102" s="5" t="n"/>
      <c r="E102" s="5" t="n"/>
      <c r="F102" s="5" t="n"/>
      <c r="G102" s="17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</row>
    <row r="103">
      <c r="A103" s="5" t="n"/>
      <c r="B103" s="5" t="n"/>
      <c r="C103" s="5" t="n"/>
      <c r="D103" s="5" t="n"/>
      <c r="E103" s="5" t="n"/>
      <c r="F103" s="5" t="n"/>
      <c r="G103" s="17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</row>
    <row r="104">
      <c r="A104" s="5" t="n"/>
      <c r="B104" s="5" t="n"/>
      <c r="C104" s="5" t="n"/>
      <c r="D104" s="5" t="n"/>
      <c r="E104" s="5" t="n"/>
      <c r="F104" s="5" t="n"/>
      <c r="G104" s="17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</row>
    <row r="105">
      <c r="A105" s="5" t="n"/>
      <c r="B105" s="5" t="n"/>
      <c r="C105" s="5" t="n"/>
      <c r="D105" s="5" t="n"/>
      <c r="E105" s="5" t="n"/>
      <c r="F105" s="5" t="n"/>
      <c r="G105" s="17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</row>
    <row r="106">
      <c r="A106" s="5" t="n"/>
      <c r="B106" s="5" t="n"/>
      <c r="C106" s="5" t="n"/>
      <c r="D106" s="5" t="n"/>
      <c r="E106" s="5" t="n"/>
      <c r="F106" s="5" t="n"/>
      <c r="G106" s="17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>
      <c r="A107" s="5" t="n"/>
      <c r="B107" s="5" t="n"/>
      <c r="C107" s="5" t="n"/>
      <c r="D107" s="5" t="n"/>
      <c r="E107" s="5" t="n"/>
      <c r="F107" s="5" t="n"/>
      <c r="G107" s="17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</row>
    <row r="108">
      <c r="A108" s="5" t="n"/>
      <c r="B108" s="5" t="n"/>
      <c r="C108" s="5" t="n"/>
      <c r="D108" s="5" t="n"/>
      <c r="E108" s="5" t="n"/>
      <c r="F108" s="5" t="n"/>
      <c r="G108" s="17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</row>
    <row r="109">
      <c r="A109" s="5" t="n"/>
      <c r="B109" s="5" t="n"/>
      <c r="C109" s="5" t="n"/>
      <c r="D109" s="5" t="n"/>
      <c r="E109" s="5" t="n"/>
      <c r="F109" s="5" t="n"/>
      <c r="G109" s="17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</row>
    <row r="110">
      <c r="A110" s="5" t="n"/>
      <c r="B110" s="5" t="n"/>
      <c r="C110" s="5" t="n"/>
      <c r="D110" s="5" t="n"/>
      <c r="E110" s="5" t="n"/>
      <c r="F110" s="5" t="n"/>
      <c r="G110" s="17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</row>
    <row r="111">
      <c r="A111" s="5" t="n"/>
      <c r="B111" s="5" t="n"/>
      <c r="C111" s="5" t="n"/>
      <c r="D111" s="5" t="n"/>
      <c r="E111" s="5" t="n"/>
      <c r="F111" s="5" t="n"/>
      <c r="G111" s="17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</row>
    <row r="112">
      <c r="A112" s="5" t="n"/>
      <c r="B112" s="5" t="n"/>
      <c r="C112" s="5" t="n"/>
      <c r="D112" s="5" t="n"/>
      <c r="E112" s="5" t="n"/>
      <c r="F112" s="5" t="n"/>
      <c r="G112" s="17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</row>
    <row r="113">
      <c r="A113" s="5" t="n"/>
      <c r="B113" s="5" t="n"/>
      <c r="C113" s="5" t="n"/>
      <c r="D113" s="5" t="n"/>
      <c r="E113" s="5" t="n"/>
      <c r="F113" s="5" t="n"/>
      <c r="G113" s="17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</row>
    <row r="114">
      <c r="A114" s="5" t="n"/>
      <c r="B114" s="5" t="n"/>
      <c r="C114" s="5" t="n"/>
      <c r="D114" s="5" t="n"/>
      <c r="E114" s="5" t="n"/>
      <c r="F114" s="5" t="n"/>
      <c r="G114" s="17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</row>
    <row r="115">
      <c r="A115" s="5" t="n"/>
      <c r="B115" s="5" t="n"/>
      <c r="C115" s="5" t="n"/>
      <c r="D115" s="5" t="n"/>
      <c r="E115" s="5" t="n"/>
      <c r="F115" s="5" t="n"/>
      <c r="G115" s="17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</row>
    <row r="116">
      <c r="A116" s="5" t="n"/>
      <c r="B116" s="5" t="n"/>
      <c r="C116" s="5" t="n"/>
      <c r="D116" s="5" t="n"/>
      <c r="E116" s="5" t="n"/>
      <c r="F116" s="5" t="n"/>
      <c r="G116" s="17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>
      <c r="A117" s="5" t="n"/>
      <c r="B117" s="5" t="n"/>
      <c r="C117" s="5" t="n"/>
      <c r="D117" s="5" t="n"/>
      <c r="E117" s="5" t="n"/>
      <c r="F117" s="5" t="n"/>
      <c r="G117" s="17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</row>
    <row r="118">
      <c r="A118" s="5" t="n"/>
      <c r="B118" s="5" t="n"/>
      <c r="C118" s="5" t="n"/>
      <c r="D118" s="5" t="n"/>
      <c r="E118" s="5" t="n"/>
      <c r="F118" s="5" t="n"/>
      <c r="G118" s="17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>
      <c r="A119" s="5" t="n"/>
      <c r="B119" s="5" t="n"/>
      <c r="C119" s="5" t="n"/>
      <c r="D119" s="5" t="n"/>
      <c r="E119" s="5" t="n"/>
      <c r="F119" s="5" t="n"/>
      <c r="G119" s="17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</row>
    <row r="120">
      <c r="A120" s="5" t="n"/>
      <c r="B120" s="5" t="n"/>
      <c r="C120" s="5" t="n"/>
      <c r="D120" s="5" t="n"/>
      <c r="E120" s="5" t="n"/>
      <c r="F120" s="5" t="n"/>
      <c r="G120" s="17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</row>
    <row r="121">
      <c r="A121" s="5" t="n"/>
      <c r="B121" s="5" t="n"/>
      <c r="C121" s="5" t="n"/>
      <c r="D121" s="5" t="n"/>
      <c r="E121" s="5" t="n"/>
      <c r="F121" s="5" t="n"/>
      <c r="G121" s="17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</row>
    <row r="122">
      <c r="A122" s="5" t="n"/>
      <c r="B122" s="5" t="n"/>
      <c r="C122" s="5" t="n"/>
      <c r="D122" s="5" t="n"/>
      <c r="E122" s="5" t="n"/>
      <c r="F122" s="5" t="n"/>
      <c r="G122" s="17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</row>
    <row r="123">
      <c r="A123" s="5" t="n"/>
      <c r="B123" s="5" t="n"/>
      <c r="C123" s="5" t="n"/>
      <c r="D123" s="5" t="n"/>
      <c r="E123" s="5" t="n"/>
      <c r="F123" s="5" t="n"/>
      <c r="G123" s="17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</row>
    <row r="124">
      <c r="A124" s="5" t="n"/>
      <c r="B124" s="5" t="n"/>
      <c r="C124" s="5" t="n"/>
      <c r="D124" s="5" t="n"/>
      <c r="E124" s="5" t="n"/>
      <c r="F124" s="5" t="n"/>
      <c r="G124" s="17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</row>
    <row r="125">
      <c r="A125" s="5" t="n"/>
      <c r="B125" s="5" t="n"/>
      <c r="C125" s="5" t="n"/>
      <c r="D125" s="5" t="n"/>
      <c r="E125" s="5" t="n"/>
      <c r="F125" s="5" t="n"/>
      <c r="G125" s="17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</row>
    <row r="126">
      <c r="A126" s="5" t="n"/>
      <c r="B126" s="5" t="n"/>
      <c r="C126" s="5" t="n"/>
      <c r="D126" s="5" t="n"/>
      <c r="E126" s="5" t="n"/>
      <c r="F126" s="5" t="n"/>
      <c r="G126" s="17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</row>
    <row r="127">
      <c r="A127" s="5" t="n"/>
      <c r="B127" s="5" t="n"/>
      <c r="C127" s="5" t="n"/>
      <c r="D127" s="5" t="n"/>
      <c r="E127" s="5" t="n"/>
      <c r="F127" s="5" t="n"/>
      <c r="G127" s="17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</row>
    <row r="128">
      <c r="A128" s="5" t="n"/>
      <c r="B128" s="5" t="n"/>
      <c r="C128" s="5" t="n"/>
      <c r="D128" s="5" t="n"/>
      <c r="E128" s="5" t="n"/>
      <c r="F128" s="5" t="n"/>
      <c r="G128" s="17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</row>
    <row r="129">
      <c r="A129" s="5" t="n"/>
      <c r="B129" s="5" t="n"/>
      <c r="C129" s="5" t="n"/>
      <c r="D129" s="5" t="n"/>
      <c r="E129" s="5" t="n"/>
      <c r="F129" s="5" t="n"/>
      <c r="G129" s="17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</row>
    <row r="130">
      <c r="A130" s="5" t="n"/>
      <c r="B130" s="5" t="n"/>
      <c r="C130" s="5" t="n"/>
      <c r="D130" s="5" t="n"/>
      <c r="E130" s="5" t="n"/>
      <c r="F130" s="5" t="n"/>
      <c r="G130" s="17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</row>
    <row r="131">
      <c r="A131" s="5" t="n"/>
      <c r="B131" s="5" t="n"/>
      <c r="C131" s="5" t="n"/>
      <c r="D131" s="5" t="n"/>
      <c r="E131" s="5" t="n"/>
      <c r="F131" s="5" t="n"/>
      <c r="G131" s="17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</row>
    <row r="132">
      <c r="A132" s="5" t="n"/>
      <c r="B132" s="5" t="n"/>
      <c r="C132" s="5" t="n"/>
      <c r="D132" s="5" t="n"/>
      <c r="E132" s="5" t="n"/>
      <c r="F132" s="5" t="n"/>
      <c r="G132" s="17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</row>
    <row r="133">
      <c r="A133" s="5" t="n"/>
      <c r="B133" s="5" t="n"/>
      <c r="C133" s="5" t="n"/>
      <c r="D133" s="5" t="n"/>
      <c r="E133" s="5" t="n"/>
      <c r="F133" s="5" t="n"/>
      <c r="G133" s="17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</row>
    <row r="134">
      <c r="A134" s="5" t="n"/>
      <c r="B134" s="5" t="n"/>
      <c r="C134" s="5" t="n"/>
      <c r="D134" s="5" t="n"/>
      <c r="E134" s="5" t="n"/>
      <c r="F134" s="5" t="n"/>
      <c r="G134" s="17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</row>
    <row r="135">
      <c r="A135" s="5" t="n"/>
      <c r="B135" s="5" t="n"/>
      <c r="C135" s="5" t="n"/>
      <c r="D135" s="5" t="n"/>
      <c r="E135" s="5" t="n"/>
      <c r="F135" s="5" t="n"/>
      <c r="G135" s="17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</row>
    <row r="136">
      <c r="A136" s="5" t="n"/>
      <c r="B136" s="5" t="n"/>
      <c r="C136" s="5" t="n"/>
      <c r="D136" s="5" t="n"/>
      <c r="E136" s="5" t="n"/>
      <c r="F136" s="5" t="n"/>
      <c r="G136" s="17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</row>
    <row r="137">
      <c r="A137" s="5" t="n"/>
      <c r="B137" s="5" t="n"/>
      <c r="C137" s="5" t="n"/>
      <c r="D137" s="5" t="n"/>
      <c r="E137" s="5" t="n"/>
      <c r="F137" s="5" t="n"/>
      <c r="G137" s="17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</row>
    <row r="138">
      <c r="A138" s="5" t="n"/>
      <c r="B138" s="5" t="n"/>
      <c r="C138" s="5" t="n"/>
      <c r="D138" s="5" t="n"/>
      <c r="E138" s="5" t="n"/>
      <c r="F138" s="5" t="n"/>
      <c r="G138" s="17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</row>
    <row r="139">
      <c r="A139" s="5" t="n"/>
      <c r="B139" s="5" t="n"/>
      <c r="C139" s="5" t="n"/>
      <c r="D139" s="5" t="n"/>
      <c r="E139" s="5" t="n"/>
      <c r="F139" s="5" t="n"/>
      <c r="G139" s="17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</row>
    <row r="140">
      <c r="A140" s="5" t="n"/>
      <c r="B140" s="5" t="n"/>
      <c r="C140" s="5" t="n"/>
      <c r="D140" s="5" t="n"/>
      <c r="E140" s="5" t="n"/>
      <c r="F140" s="5" t="n"/>
      <c r="G140" s="17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</row>
    <row r="141">
      <c r="A141" s="5" t="n"/>
      <c r="B141" s="5" t="n"/>
      <c r="C141" s="5" t="n"/>
      <c r="D141" s="5" t="n"/>
      <c r="E141" s="5" t="n"/>
      <c r="F141" s="5" t="n"/>
      <c r="G141" s="17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</row>
    <row r="142">
      <c r="A142" s="5" t="n"/>
      <c r="B142" s="5" t="n"/>
      <c r="C142" s="5" t="n"/>
      <c r="D142" s="5" t="n"/>
      <c r="E142" s="5" t="n"/>
      <c r="F142" s="5" t="n"/>
      <c r="G142" s="17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</row>
    <row r="143">
      <c r="A143" s="5" t="n"/>
      <c r="B143" s="5" t="n"/>
      <c r="C143" s="5" t="n"/>
      <c r="D143" s="5" t="n"/>
      <c r="E143" s="5" t="n"/>
      <c r="F143" s="5" t="n"/>
      <c r="G143" s="17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</row>
    <row r="144">
      <c r="A144" s="5" t="n"/>
      <c r="B144" s="5" t="n"/>
      <c r="C144" s="5" t="n"/>
      <c r="D144" s="5" t="n"/>
      <c r="E144" s="5" t="n"/>
      <c r="F144" s="5" t="n"/>
      <c r="G144" s="17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</row>
    <row r="145">
      <c r="A145" s="5" t="n"/>
      <c r="B145" s="5" t="n"/>
      <c r="C145" s="5" t="n"/>
      <c r="D145" s="5" t="n"/>
      <c r="E145" s="5" t="n"/>
      <c r="F145" s="5" t="n"/>
      <c r="G145" s="17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</row>
    <row r="146">
      <c r="A146" s="5" t="n"/>
      <c r="B146" s="5" t="n"/>
      <c r="C146" s="5" t="n"/>
      <c r="D146" s="5" t="n"/>
      <c r="E146" s="5" t="n"/>
      <c r="F146" s="5" t="n"/>
      <c r="G146" s="17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</row>
    <row r="147">
      <c r="A147" s="5" t="n"/>
      <c r="B147" s="5" t="n"/>
      <c r="C147" s="5" t="n"/>
      <c r="D147" s="5" t="n"/>
      <c r="E147" s="5" t="n"/>
      <c r="F147" s="5" t="n"/>
      <c r="G147" s="17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</row>
    <row r="148">
      <c r="A148" s="5" t="n"/>
      <c r="B148" s="5" t="n"/>
      <c r="C148" s="5" t="n"/>
      <c r="D148" s="5" t="n"/>
      <c r="E148" s="5" t="n"/>
      <c r="F148" s="5" t="n"/>
      <c r="G148" s="17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</row>
    <row r="149">
      <c r="A149" s="5" t="n"/>
      <c r="B149" s="5" t="n"/>
      <c r="C149" s="5" t="n"/>
      <c r="D149" s="5" t="n"/>
      <c r="E149" s="5" t="n"/>
      <c r="F149" s="5" t="n"/>
      <c r="G149" s="17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</row>
    <row r="150">
      <c r="A150" s="5" t="n"/>
      <c r="B150" s="5" t="n"/>
      <c r="C150" s="5" t="n"/>
      <c r="D150" s="5" t="n"/>
      <c r="E150" s="5" t="n"/>
      <c r="F150" s="5" t="n"/>
      <c r="G150" s="17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</row>
    <row r="151">
      <c r="A151" s="5" t="n"/>
      <c r="B151" s="5" t="n"/>
      <c r="C151" s="5" t="n"/>
      <c r="D151" s="5" t="n"/>
      <c r="E151" s="5" t="n"/>
      <c r="F151" s="5" t="n"/>
      <c r="G151" s="17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</row>
    <row r="152">
      <c r="A152" s="5" t="n"/>
      <c r="B152" s="5" t="n"/>
      <c r="C152" s="5" t="n"/>
      <c r="D152" s="5" t="n"/>
      <c r="E152" s="5" t="n"/>
      <c r="F152" s="5" t="n"/>
      <c r="G152" s="17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</row>
    <row r="153">
      <c r="A153" s="5" t="n"/>
      <c r="B153" s="5" t="n"/>
      <c r="C153" s="5" t="n"/>
      <c r="D153" s="5" t="n"/>
      <c r="E153" s="5" t="n"/>
      <c r="F153" s="5" t="n"/>
      <c r="G153" s="17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</row>
    <row r="154">
      <c r="A154" s="5" t="n"/>
      <c r="B154" s="5" t="n"/>
      <c r="C154" s="5" t="n"/>
      <c r="D154" s="5" t="n"/>
      <c r="E154" s="5" t="n"/>
      <c r="F154" s="5" t="n"/>
      <c r="G154" s="17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</row>
    <row r="155">
      <c r="A155" s="5" t="n"/>
      <c r="B155" s="5" t="n"/>
      <c r="C155" s="5" t="n"/>
      <c r="D155" s="5" t="n"/>
      <c r="E155" s="5" t="n"/>
      <c r="F155" s="5" t="n"/>
      <c r="G155" s="17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</row>
    <row r="156">
      <c r="A156" s="5" t="n"/>
      <c r="B156" s="5" t="n"/>
      <c r="C156" s="5" t="n"/>
      <c r="D156" s="5" t="n"/>
      <c r="E156" s="5" t="n"/>
      <c r="F156" s="5" t="n"/>
      <c r="G156" s="17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</row>
    <row r="157">
      <c r="A157" s="5" t="n"/>
      <c r="B157" s="5" t="n"/>
      <c r="C157" s="5" t="n"/>
      <c r="D157" s="5" t="n"/>
      <c r="E157" s="5" t="n"/>
      <c r="F157" s="5" t="n"/>
      <c r="G157" s="17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</row>
    <row r="158">
      <c r="A158" s="5" t="n"/>
      <c r="B158" s="5" t="n"/>
      <c r="C158" s="5" t="n"/>
      <c r="D158" s="5" t="n"/>
      <c r="E158" s="5" t="n"/>
      <c r="F158" s="5" t="n"/>
      <c r="G158" s="17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</row>
    <row r="159">
      <c r="A159" s="5" t="n"/>
      <c r="B159" s="5" t="n"/>
      <c r="C159" s="5" t="n"/>
      <c r="D159" s="5" t="n"/>
      <c r="E159" s="5" t="n"/>
      <c r="F159" s="5" t="n"/>
      <c r="G159" s="17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</row>
    <row r="160">
      <c r="A160" s="5" t="n"/>
      <c r="B160" s="5" t="n"/>
      <c r="C160" s="5" t="n"/>
      <c r="D160" s="5" t="n"/>
      <c r="E160" s="5" t="n"/>
      <c r="F160" s="5" t="n"/>
      <c r="G160" s="17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</row>
    <row r="161">
      <c r="A161" s="5" t="n"/>
      <c r="B161" s="5" t="n"/>
      <c r="C161" s="5" t="n"/>
      <c r="D161" s="5" t="n"/>
      <c r="E161" s="5" t="n"/>
      <c r="F161" s="5" t="n"/>
      <c r="G161" s="17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</row>
    <row r="162">
      <c r="A162" s="5" t="n"/>
      <c r="B162" s="5" t="n"/>
      <c r="C162" s="5" t="n"/>
      <c r="D162" s="5" t="n"/>
      <c r="E162" s="5" t="n"/>
      <c r="F162" s="5" t="n"/>
      <c r="G162" s="17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</row>
    <row r="163">
      <c r="A163" s="5" t="n"/>
      <c r="B163" s="5" t="n"/>
      <c r="C163" s="5" t="n"/>
      <c r="D163" s="5" t="n"/>
      <c r="E163" s="5" t="n"/>
      <c r="F163" s="5" t="n"/>
      <c r="G163" s="17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</row>
    <row r="164">
      <c r="A164" s="5" t="n"/>
      <c r="B164" s="5" t="n"/>
      <c r="C164" s="5" t="n"/>
      <c r="D164" s="5" t="n"/>
      <c r="E164" s="5" t="n"/>
      <c r="F164" s="5" t="n"/>
      <c r="G164" s="17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</row>
    <row r="165">
      <c r="A165" s="5" t="n"/>
      <c r="B165" s="5" t="n"/>
      <c r="C165" s="5" t="n"/>
      <c r="D165" s="5" t="n"/>
      <c r="E165" s="5" t="n"/>
      <c r="F165" s="5" t="n"/>
      <c r="G165" s="17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</row>
    <row r="166">
      <c r="A166" s="5" t="n"/>
      <c r="B166" s="5" t="n"/>
      <c r="C166" s="5" t="n"/>
      <c r="D166" s="5" t="n"/>
      <c r="E166" s="5" t="n"/>
      <c r="F166" s="5" t="n"/>
      <c r="G166" s="17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</row>
    <row r="167">
      <c r="A167" s="5" t="n"/>
      <c r="B167" s="5" t="n"/>
      <c r="C167" s="5" t="n"/>
      <c r="D167" s="5" t="n"/>
      <c r="E167" s="5" t="n"/>
      <c r="F167" s="5" t="n"/>
      <c r="G167" s="17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</row>
    <row r="168">
      <c r="A168" s="5" t="n"/>
      <c r="B168" s="5" t="n"/>
      <c r="C168" s="5" t="n"/>
      <c r="D168" s="5" t="n"/>
      <c r="E168" s="5" t="n"/>
      <c r="F168" s="5" t="n"/>
      <c r="G168" s="17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</row>
    <row r="169">
      <c r="A169" s="5" t="n"/>
      <c r="B169" s="5" t="n"/>
      <c r="C169" s="5" t="n"/>
      <c r="D169" s="5" t="n"/>
      <c r="E169" s="5" t="n"/>
      <c r="F169" s="5" t="n"/>
      <c r="G169" s="17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</row>
    <row r="170">
      <c r="A170" s="5" t="n"/>
      <c r="B170" s="5" t="n"/>
      <c r="C170" s="5" t="n"/>
      <c r="D170" s="5" t="n"/>
      <c r="E170" s="5" t="n"/>
      <c r="F170" s="5" t="n"/>
      <c r="G170" s="17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</row>
    <row r="171">
      <c r="A171" s="5" t="n"/>
      <c r="B171" s="5" t="n"/>
      <c r="C171" s="5" t="n"/>
      <c r="D171" s="5" t="n"/>
      <c r="E171" s="5" t="n"/>
      <c r="F171" s="5" t="n"/>
      <c r="G171" s="17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</row>
    <row r="172">
      <c r="A172" s="5" t="n"/>
      <c r="B172" s="5" t="n"/>
      <c r="C172" s="5" t="n"/>
      <c r="D172" s="5" t="n"/>
      <c r="E172" s="5" t="n"/>
      <c r="F172" s="5" t="n"/>
      <c r="G172" s="17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</row>
    <row r="173">
      <c r="A173" s="5" t="n"/>
      <c r="B173" s="5" t="n"/>
      <c r="C173" s="5" t="n"/>
      <c r="D173" s="5" t="n"/>
      <c r="E173" s="5" t="n"/>
      <c r="F173" s="5" t="n"/>
      <c r="G173" s="17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</row>
    <row r="174">
      <c r="A174" s="5" t="n"/>
      <c r="B174" s="5" t="n"/>
      <c r="C174" s="5" t="n"/>
      <c r="D174" s="5" t="n"/>
      <c r="E174" s="5" t="n"/>
      <c r="F174" s="5" t="n"/>
      <c r="G174" s="17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</row>
    <row r="175">
      <c r="A175" s="5" t="n"/>
      <c r="B175" s="5" t="n"/>
      <c r="C175" s="5" t="n"/>
      <c r="D175" s="5" t="n"/>
      <c r="E175" s="5" t="n"/>
      <c r="F175" s="5" t="n"/>
      <c r="G175" s="17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</row>
    <row r="176">
      <c r="A176" s="5" t="n"/>
      <c r="B176" s="5" t="n"/>
      <c r="C176" s="5" t="n"/>
      <c r="D176" s="5" t="n"/>
      <c r="E176" s="5" t="n"/>
      <c r="F176" s="5" t="n"/>
      <c r="G176" s="17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</row>
    <row r="177">
      <c r="A177" s="5" t="n"/>
      <c r="B177" s="5" t="n"/>
      <c r="C177" s="5" t="n"/>
      <c r="D177" s="5" t="n"/>
      <c r="E177" s="5" t="n"/>
      <c r="F177" s="5" t="n"/>
      <c r="G177" s="17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</row>
    <row r="178">
      <c r="A178" s="5" t="n"/>
      <c r="B178" s="5" t="n"/>
      <c r="C178" s="5" t="n"/>
      <c r="D178" s="5" t="n"/>
      <c r="E178" s="5" t="n"/>
      <c r="F178" s="5" t="n"/>
      <c r="G178" s="17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</row>
    <row r="179">
      <c r="A179" s="5" t="n"/>
      <c r="B179" s="5" t="n"/>
      <c r="C179" s="5" t="n"/>
      <c r="D179" s="5" t="n"/>
      <c r="E179" s="5" t="n"/>
      <c r="F179" s="5" t="n"/>
      <c r="G179" s="17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</row>
    <row r="180">
      <c r="A180" s="5" t="n"/>
      <c r="B180" s="5" t="n"/>
      <c r="C180" s="5" t="n"/>
      <c r="D180" s="5" t="n"/>
      <c r="E180" s="5" t="n"/>
      <c r="F180" s="5" t="n"/>
      <c r="G180" s="17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</row>
    <row r="181">
      <c r="A181" s="5" t="n"/>
      <c r="B181" s="5" t="n"/>
      <c r="C181" s="5" t="n"/>
      <c r="D181" s="5" t="n"/>
      <c r="E181" s="5" t="n"/>
      <c r="F181" s="5" t="n"/>
      <c r="G181" s="17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</row>
    <row r="182">
      <c r="A182" s="5" t="n"/>
      <c r="B182" s="5" t="n"/>
      <c r="C182" s="5" t="n"/>
      <c r="D182" s="5" t="n"/>
      <c r="E182" s="5" t="n"/>
      <c r="F182" s="5" t="n"/>
      <c r="G182" s="17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</row>
    <row r="183">
      <c r="A183" s="5" t="n"/>
      <c r="B183" s="5" t="n"/>
      <c r="C183" s="5" t="n"/>
      <c r="D183" s="5" t="n"/>
      <c r="E183" s="5" t="n"/>
      <c r="F183" s="5" t="n"/>
      <c r="G183" s="17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</row>
    <row r="184">
      <c r="A184" s="5" t="n"/>
      <c r="B184" s="5" t="n"/>
      <c r="C184" s="5" t="n"/>
      <c r="D184" s="5" t="n"/>
      <c r="E184" s="5" t="n"/>
      <c r="F184" s="5" t="n"/>
      <c r="G184" s="17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</row>
    <row r="185">
      <c r="A185" s="5" t="n"/>
      <c r="B185" s="5" t="n"/>
      <c r="C185" s="5" t="n"/>
      <c r="D185" s="5" t="n"/>
      <c r="E185" s="5" t="n"/>
      <c r="F185" s="5" t="n"/>
      <c r="G185" s="17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</row>
    <row r="186">
      <c r="A186" s="5" t="n"/>
      <c r="B186" s="5" t="n"/>
      <c r="C186" s="5" t="n"/>
      <c r="D186" s="5" t="n"/>
      <c r="E186" s="5" t="n"/>
      <c r="F186" s="5" t="n"/>
      <c r="G186" s="17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</row>
    <row r="187">
      <c r="A187" s="5" t="n"/>
      <c r="B187" s="5" t="n"/>
      <c r="C187" s="5" t="n"/>
      <c r="D187" s="5" t="n"/>
      <c r="E187" s="5" t="n"/>
      <c r="F187" s="5" t="n"/>
      <c r="G187" s="17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</row>
    <row r="188">
      <c r="A188" s="5" t="n"/>
      <c r="B188" s="5" t="n"/>
      <c r="C188" s="5" t="n"/>
      <c r="D188" s="5" t="n"/>
      <c r="E188" s="5" t="n"/>
      <c r="F188" s="5" t="n"/>
      <c r="G188" s="17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</row>
    <row r="189">
      <c r="A189" s="5" t="n"/>
      <c r="B189" s="5" t="n"/>
      <c r="C189" s="5" t="n"/>
      <c r="D189" s="5" t="n"/>
      <c r="E189" s="5" t="n"/>
      <c r="F189" s="5" t="n"/>
      <c r="G189" s="17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</row>
    <row r="190">
      <c r="A190" s="5" t="n"/>
      <c r="B190" s="5" t="n"/>
      <c r="C190" s="5" t="n"/>
      <c r="D190" s="5" t="n"/>
      <c r="E190" s="5" t="n"/>
      <c r="F190" s="5" t="n"/>
      <c r="G190" s="17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</row>
    <row r="191">
      <c r="A191" s="5" t="n"/>
      <c r="B191" s="5" t="n"/>
      <c r="C191" s="5" t="n"/>
      <c r="D191" s="5" t="n"/>
      <c r="E191" s="5" t="n"/>
      <c r="F191" s="5" t="n"/>
      <c r="G191" s="17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</row>
    <row r="192">
      <c r="A192" s="5" t="n"/>
      <c r="B192" s="5" t="n"/>
      <c r="C192" s="5" t="n"/>
      <c r="D192" s="5" t="n"/>
      <c r="E192" s="5" t="n"/>
      <c r="F192" s="5" t="n"/>
      <c r="G192" s="17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</row>
    <row r="193">
      <c r="A193" s="5" t="n"/>
      <c r="B193" s="5" t="n"/>
      <c r="C193" s="5" t="n"/>
      <c r="D193" s="5" t="n"/>
      <c r="E193" s="5" t="n"/>
      <c r="F193" s="5" t="n"/>
      <c r="G193" s="17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</row>
    <row r="194">
      <c r="A194" s="5" t="n"/>
      <c r="B194" s="5" t="n"/>
      <c r="C194" s="5" t="n"/>
      <c r="D194" s="5" t="n"/>
      <c r="E194" s="5" t="n"/>
      <c r="F194" s="5" t="n"/>
      <c r="G194" s="17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</row>
    <row r="195">
      <c r="A195" s="5" t="n"/>
      <c r="B195" s="5" t="n"/>
      <c r="C195" s="5" t="n"/>
      <c r="D195" s="5" t="n"/>
      <c r="E195" s="5" t="n"/>
      <c r="F195" s="5" t="n"/>
      <c r="G195" s="17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</row>
    <row r="196">
      <c r="A196" s="5" t="n"/>
      <c r="B196" s="5" t="n"/>
      <c r="C196" s="5" t="n"/>
      <c r="D196" s="5" t="n"/>
      <c r="E196" s="5" t="n"/>
      <c r="F196" s="5" t="n"/>
      <c r="G196" s="17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</row>
    <row r="197">
      <c r="A197" s="5" t="n"/>
      <c r="B197" s="5" t="n"/>
      <c r="C197" s="5" t="n"/>
      <c r="D197" s="5" t="n"/>
      <c r="E197" s="5" t="n"/>
      <c r="F197" s="5" t="n"/>
      <c r="G197" s="17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</row>
    <row r="198">
      <c r="A198" s="5" t="n"/>
      <c r="B198" s="5" t="n"/>
      <c r="C198" s="5" t="n"/>
      <c r="D198" s="5" t="n"/>
      <c r="E198" s="5" t="n"/>
      <c r="F198" s="5" t="n"/>
      <c r="G198" s="17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</row>
    <row r="199">
      <c r="A199" s="5" t="n"/>
      <c r="B199" s="5" t="n"/>
      <c r="C199" s="5" t="n"/>
      <c r="D199" s="5" t="n"/>
      <c r="E199" s="5" t="n"/>
      <c r="F199" s="5" t="n"/>
      <c r="G199" s="17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</row>
  </sheetData>
  <mergeCells count="1">
    <mergeCell ref="A1:K1"/>
  </mergeCells>
  <conditionalFormatting sqref="A4:S200">
    <cfRule type="cellIs" priority="1" operator="lessThanOrEqual" dxfId="3">
      <formula>10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8" customHeight="1">
      <c r="A1" s="1" t="inlineStr">
        <is>
          <t>CAPACITY_PLAN — Role capacity vs demand</t>
        </is>
      </c>
    </row>
    <row r="3" ht="20" customHeight="1">
      <c r="A3" s="4" t="inlineStr">
        <is>
          <t>Role</t>
        </is>
      </c>
      <c r="B3" s="4" t="inlineStr">
        <is>
          <t>Weekly_Capacity_FTE</t>
        </is>
      </c>
      <c r="C3" s="4" t="inlineStr">
        <is>
          <t>Committed_FTE</t>
        </is>
      </c>
      <c r="D3" s="4" t="inlineStr">
        <is>
          <t>Available_FTE</t>
        </is>
      </c>
      <c r="E3" s="4" t="inlineStr">
        <is>
          <t>Overload_Flag</t>
        </is>
      </c>
    </row>
    <row r="4">
      <c r="A4" s="5" t="inlineStr">
        <is>
          <t>PM</t>
        </is>
      </c>
      <c r="B4" s="6" t="n">
        <v>3</v>
      </c>
      <c r="C4" s="5" t="n">
        <v>0</v>
      </c>
      <c r="D4" s="5">
        <f>B4-C4</f>
        <v/>
      </c>
      <c r="E4" s="5">
        <f>IF(D4&lt;0,"OVERLOAD","OK")</f>
        <v/>
      </c>
    </row>
    <row r="5">
      <c r="A5" s="5" t="inlineStr">
        <is>
          <t>Data</t>
        </is>
      </c>
      <c r="B5" s="6" t="n">
        <v>2</v>
      </c>
      <c r="C5" s="5" t="n">
        <v>0</v>
      </c>
      <c r="D5" s="5">
        <f>B5-C5</f>
        <v/>
      </c>
      <c r="E5" s="5">
        <f>IF(D5&lt;0,"OVERLOAD","OK")</f>
        <v/>
      </c>
    </row>
    <row r="6">
      <c r="A6" s="5" t="inlineStr">
        <is>
          <t>Engineering</t>
        </is>
      </c>
      <c r="B6" s="6" t="n">
        <v>4</v>
      </c>
      <c r="C6" s="5" t="n">
        <v>0</v>
      </c>
      <c r="D6" s="5">
        <f>B6-C6</f>
        <v/>
      </c>
      <c r="E6" s="5">
        <f>IF(D6&lt;0,"OVERLOAD","OK")</f>
        <v/>
      </c>
    </row>
    <row r="7">
      <c r="A7" s="5" t="inlineStr">
        <is>
          <t>Ops</t>
        </is>
      </c>
      <c r="B7" s="6" t="n">
        <v>2</v>
      </c>
      <c r="C7" s="5" t="n">
        <v>0</v>
      </c>
      <c r="D7" s="5">
        <f>B7-C7</f>
        <v/>
      </c>
      <c r="E7" s="5">
        <f>IF(D7&lt;0,"OVERLOAD","OK")</f>
        <v/>
      </c>
    </row>
    <row r="8">
      <c r="A8" s="5" t="inlineStr">
        <is>
          <t>Finance</t>
        </is>
      </c>
      <c r="B8" s="6" t="n">
        <v>1</v>
      </c>
      <c r="C8" s="5" t="n">
        <v>0</v>
      </c>
      <c r="D8" s="5">
        <f>B8-C8</f>
        <v/>
      </c>
      <c r="E8" s="5">
        <f>IF(D8&lt;0,"OVERLOAD","OK")</f>
        <v/>
      </c>
    </row>
    <row r="10">
      <c r="A10" s="2" t="inlineStr">
        <is>
          <t>Cómo usar</t>
        </is>
      </c>
    </row>
    <row r="11">
      <c r="A11" t="inlineStr">
        <is>
          <t>Carga FTE por iniciativa (ej.: demand 0.3 Data, 0.5 Eng) se consolida en Committed_FTE. Este template deja el campo editable.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4" customWidth="1" min="4" max="4"/>
    <col width="12" customWidth="1" min="5" max="5"/>
    <col width="14" customWidth="1" min="6" max="6"/>
    <col width="10" customWidth="1" min="7" max="7"/>
    <col width="18" customWidth="1" min="8" max="8"/>
    <col width="22" customWidth="1" min="9" max="9"/>
    <col width="28" customWidth="1" min="10" max="10"/>
  </cols>
  <sheetData>
    <row r="1" ht="28" customHeight="1">
      <c r="A1" s="1" t="inlineStr">
        <is>
          <t>COMMITTEE_PACK — Weekly exec pack (auto tables + narrative)</t>
        </is>
      </c>
    </row>
    <row r="3">
      <c r="A3" s="3" t="inlineStr">
        <is>
          <t>Top prioridades (por Priority_Score)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2" t="n"/>
    </row>
    <row r="4" ht="20" customHeight="1">
      <c r="A4" s="4" t="inlineStr">
        <is>
          <t>Rank</t>
        </is>
      </c>
      <c r="B4" s="4" t="inlineStr">
        <is>
          <t>Initiative_ID</t>
        </is>
      </c>
      <c r="C4" s="4" t="inlineStr">
        <is>
          <t>Name</t>
        </is>
      </c>
      <c r="D4" s="4" t="inlineStr">
        <is>
          <t>Owner</t>
        </is>
      </c>
      <c r="E4" s="4" t="inlineStr">
        <is>
          <t>Status</t>
        </is>
      </c>
      <c r="F4" s="4" t="inlineStr">
        <is>
          <t>Priority_Score</t>
        </is>
      </c>
      <c r="G4" s="4" t="inlineStr">
        <is>
          <t>Risk (RAG)</t>
        </is>
      </c>
      <c r="H4" s="4" t="inlineStr">
        <is>
          <t>Decision required</t>
        </is>
      </c>
      <c r="I4" s="4" t="inlineStr">
        <is>
          <t>Primary blocker</t>
        </is>
      </c>
      <c r="J4" s="4" t="inlineStr">
        <is>
          <t>Next action</t>
        </is>
      </c>
    </row>
    <row r="5">
      <c r="A5" s="5" t="n">
        <v>1</v>
      </c>
      <c r="B5" s="5">
        <f>IFERROR(INDEX(PRIORITIZATION!$A$4:$A$200, MATCH(A5, PRIORITIZATION!$Q$4:$Q$200,0)),"")</f>
        <v/>
      </c>
      <c r="C5" s="5">
        <f>IF(B5="","",VLOOKUP(B5,PRIORITIZATION!$A:$S,2,FALSE))</f>
        <v/>
      </c>
      <c r="D5" s="5">
        <f>IF(B5="","",VLOOKUP(B5,PRIORITIZATION!$A:$S,4,FALSE))</f>
        <v/>
      </c>
      <c r="E5" s="5">
        <f>IF(B5="","",VLOOKUP(B5,PRIORITIZATION!$A:$S,5,FALSE))</f>
        <v/>
      </c>
      <c r="F5" s="5">
        <f>IF(B5="","",VLOOKUP(B5,PRIORITIZATION!$A:$S,16,FALSE))</f>
        <v/>
      </c>
      <c r="G5" s="5">
        <f>IF(B5="","",VLOOKUP(B5,RISK_ENGINE!$A:$N,14,FALSE))</f>
        <v/>
      </c>
      <c r="H5" s="5">
        <f>IF(B5="","",VLOOKUP(B5,PRIORITIZATION!$A:$S,18,FALSE))</f>
        <v/>
      </c>
      <c r="I5" s="5">
        <f>IF(B5="","",VLOOKUP(B5,NORMALIZED!$A:$T,18,FALSE))</f>
        <v/>
      </c>
      <c r="J5" s="5">
        <f>IF(B5="","",VLOOKUP(B5,PRIORITIZATION!$A:$S,19,FALSE))</f>
        <v/>
      </c>
    </row>
    <row r="6">
      <c r="A6" s="5" t="n">
        <v>2</v>
      </c>
      <c r="B6" s="5">
        <f>IFERROR(INDEX(PRIORITIZATION!$A$4:$A$200, MATCH(A6, PRIORITIZATION!$Q$4:$Q$200,0)),"")</f>
        <v/>
      </c>
      <c r="C6" s="5">
        <f>IF(B6="","",VLOOKUP(B6,PRIORITIZATION!$A:$S,2,FALSE))</f>
        <v/>
      </c>
      <c r="D6" s="5">
        <f>IF(B6="","",VLOOKUP(B6,PRIORITIZATION!$A:$S,4,FALSE))</f>
        <v/>
      </c>
      <c r="E6" s="5">
        <f>IF(B6="","",VLOOKUP(B6,PRIORITIZATION!$A:$S,5,FALSE))</f>
        <v/>
      </c>
      <c r="F6" s="5">
        <f>IF(B6="","",VLOOKUP(B6,PRIORITIZATION!$A:$S,16,FALSE))</f>
        <v/>
      </c>
      <c r="G6" s="5">
        <f>IF(B6="","",VLOOKUP(B6,RISK_ENGINE!$A:$N,14,FALSE))</f>
        <v/>
      </c>
      <c r="H6" s="5">
        <f>IF(B6="","",VLOOKUP(B6,PRIORITIZATION!$A:$S,18,FALSE))</f>
        <v/>
      </c>
      <c r="I6" s="5">
        <f>IF(B6="","",VLOOKUP(B6,NORMALIZED!$A:$T,18,FALSE))</f>
        <v/>
      </c>
      <c r="J6" s="5">
        <f>IF(B6="","",VLOOKUP(B6,PRIORITIZATION!$A:$S,19,FALSE))</f>
        <v/>
      </c>
    </row>
    <row r="7">
      <c r="A7" s="5" t="n">
        <v>3</v>
      </c>
      <c r="B7" s="5">
        <f>IFERROR(INDEX(PRIORITIZATION!$A$4:$A$200, MATCH(A7, PRIORITIZATION!$Q$4:$Q$200,0)),"")</f>
        <v/>
      </c>
      <c r="C7" s="5">
        <f>IF(B7="","",VLOOKUP(B7,PRIORITIZATION!$A:$S,2,FALSE))</f>
        <v/>
      </c>
      <c r="D7" s="5">
        <f>IF(B7="","",VLOOKUP(B7,PRIORITIZATION!$A:$S,4,FALSE))</f>
        <v/>
      </c>
      <c r="E7" s="5">
        <f>IF(B7="","",VLOOKUP(B7,PRIORITIZATION!$A:$S,5,FALSE))</f>
        <v/>
      </c>
      <c r="F7" s="5">
        <f>IF(B7="","",VLOOKUP(B7,PRIORITIZATION!$A:$S,16,FALSE))</f>
        <v/>
      </c>
      <c r="G7" s="5">
        <f>IF(B7="","",VLOOKUP(B7,RISK_ENGINE!$A:$N,14,FALSE))</f>
        <v/>
      </c>
      <c r="H7" s="5">
        <f>IF(B7="","",VLOOKUP(B7,PRIORITIZATION!$A:$S,18,FALSE))</f>
        <v/>
      </c>
      <c r="I7" s="5">
        <f>IF(B7="","",VLOOKUP(B7,NORMALIZED!$A:$T,18,FALSE))</f>
        <v/>
      </c>
      <c r="J7" s="5">
        <f>IF(B7="","",VLOOKUP(B7,PRIORITIZATION!$A:$S,19,FALSE))</f>
        <v/>
      </c>
    </row>
    <row r="8">
      <c r="A8" s="5" t="n">
        <v>4</v>
      </c>
      <c r="B8" s="5">
        <f>IFERROR(INDEX(PRIORITIZATION!$A$4:$A$200, MATCH(A8, PRIORITIZATION!$Q$4:$Q$200,0)),"")</f>
        <v/>
      </c>
      <c r="C8" s="5">
        <f>IF(B8="","",VLOOKUP(B8,PRIORITIZATION!$A:$S,2,FALSE))</f>
        <v/>
      </c>
      <c r="D8" s="5">
        <f>IF(B8="","",VLOOKUP(B8,PRIORITIZATION!$A:$S,4,FALSE))</f>
        <v/>
      </c>
      <c r="E8" s="5">
        <f>IF(B8="","",VLOOKUP(B8,PRIORITIZATION!$A:$S,5,FALSE))</f>
        <v/>
      </c>
      <c r="F8" s="5">
        <f>IF(B8="","",VLOOKUP(B8,PRIORITIZATION!$A:$S,16,FALSE))</f>
        <v/>
      </c>
      <c r="G8" s="5">
        <f>IF(B8="","",VLOOKUP(B8,RISK_ENGINE!$A:$N,14,FALSE))</f>
        <v/>
      </c>
      <c r="H8" s="5">
        <f>IF(B8="","",VLOOKUP(B8,PRIORITIZATION!$A:$S,18,FALSE))</f>
        <v/>
      </c>
      <c r="I8" s="5">
        <f>IF(B8="","",VLOOKUP(B8,NORMALIZED!$A:$T,18,FALSE))</f>
        <v/>
      </c>
      <c r="J8" s="5">
        <f>IF(B8="","",VLOOKUP(B8,PRIORITIZATION!$A:$S,19,FALSE))</f>
        <v/>
      </c>
    </row>
    <row r="9">
      <c r="A9" s="5" t="n">
        <v>5</v>
      </c>
      <c r="B9" s="5">
        <f>IFERROR(INDEX(PRIORITIZATION!$A$4:$A$200, MATCH(A9, PRIORITIZATION!$Q$4:$Q$200,0)),"")</f>
        <v/>
      </c>
      <c r="C9" s="5">
        <f>IF(B9="","",VLOOKUP(B9,PRIORITIZATION!$A:$S,2,FALSE))</f>
        <v/>
      </c>
      <c r="D9" s="5">
        <f>IF(B9="","",VLOOKUP(B9,PRIORITIZATION!$A:$S,4,FALSE))</f>
        <v/>
      </c>
      <c r="E9" s="5">
        <f>IF(B9="","",VLOOKUP(B9,PRIORITIZATION!$A:$S,5,FALSE))</f>
        <v/>
      </c>
      <c r="F9" s="5">
        <f>IF(B9="","",VLOOKUP(B9,PRIORITIZATION!$A:$S,16,FALSE))</f>
        <v/>
      </c>
      <c r="G9" s="5">
        <f>IF(B9="","",VLOOKUP(B9,RISK_ENGINE!$A:$N,14,FALSE))</f>
        <v/>
      </c>
      <c r="H9" s="5">
        <f>IF(B9="","",VLOOKUP(B9,PRIORITIZATION!$A:$S,18,FALSE))</f>
        <v/>
      </c>
      <c r="I9" s="5">
        <f>IF(B9="","",VLOOKUP(B9,NORMALIZED!$A:$T,18,FALSE))</f>
        <v/>
      </c>
      <c r="J9" s="5">
        <f>IF(B9="","",VLOOKUP(B9,PRIORITIZATION!$A:$S,19,FALSE))</f>
        <v/>
      </c>
    </row>
    <row r="10">
      <c r="A10" s="5" t="n">
        <v>6</v>
      </c>
      <c r="B10" s="5">
        <f>IFERROR(INDEX(PRIORITIZATION!$A$4:$A$200, MATCH(A10, PRIORITIZATION!$Q$4:$Q$200,0)),"")</f>
        <v/>
      </c>
      <c r="C10" s="5">
        <f>IF(B10="","",VLOOKUP(B10,PRIORITIZATION!$A:$S,2,FALSE))</f>
        <v/>
      </c>
      <c r="D10" s="5">
        <f>IF(B10="","",VLOOKUP(B10,PRIORITIZATION!$A:$S,4,FALSE))</f>
        <v/>
      </c>
      <c r="E10" s="5">
        <f>IF(B10="","",VLOOKUP(B10,PRIORITIZATION!$A:$S,5,FALSE))</f>
        <v/>
      </c>
      <c r="F10" s="5">
        <f>IF(B10="","",VLOOKUP(B10,PRIORITIZATION!$A:$S,16,FALSE))</f>
        <v/>
      </c>
      <c r="G10" s="5">
        <f>IF(B10="","",VLOOKUP(B10,RISK_ENGINE!$A:$N,14,FALSE))</f>
        <v/>
      </c>
      <c r="H10" s="5">
        <f>IF(B10="","",VLOOKUP(B10,PRIORITIZATION!$A:$S,18,FALSE))</f>
        <v/>
      </c>
      <c r="I10" s="5">
        <f>IF(B10="","",VLOOKUP(B10,NORMALIZED!$A:$T,18,FALSE))</f>
        <v/>
      </c>
      <c r="J10" s="5">
        <f>IF(B10="","",VLOOKUP(B10,PRIORITIZATION!$A:$S,19,FALSE))</f>
        <v/>
      </c>
    </row>
    <row r="11">
      <c r="A11" s="5" t="n">
        <v>7</v>
      </c>
      <c r="B11" s="5">
        <f>IFERROR(INDEX(PRIORITIZATION!$A$4:$A$200, MATCH(A11, PRIORITIZATION!$Q$4:$Q$200,0)),"")</f>
        <v/>
      </c>
      <c r="C11" s="5">
        <f>IF(B11="","",VLOOKUP(B11,PRIORITIZATION!$A:$S,2,FALSE))</f>
        <v/>
      </c>
      <c r="D11" s="5">
        <f>IF(B11="","",VLOOKUP(B11,PRIORITIZATION!$A:$S,4,FALSE))</f>
        <v/>
      </c>
      <c r="E11" s="5">
        <f>IF(B11="","",VLOOKUP(B11,PRIORITIZATION!$A:$S,5,FALSE))</f>
        <v/>
      </c>
      <c r="F11" s="5">
        <f>IF(B11="","",VLOOKUP(B11,PRIORITIZATION!$A:$S,16,FALSE))</f>
        <v/>
      </c>
      <c r="G11" s="5">
        <f>IF(B11="","",VLOOKUP(B11,RISK_ENGINE!$A:$N,14,FALSE))</f>
        <v/>
      </c>
      <c r="H11" s="5">
        <f>IF(B11="","",VLOOKUP(B11,PRIORITIZATION!$A:$S,18,FALSE))</f>
        <v/>
      </c>
      <c r="I11" s="5">
        <f>IF(B11="","",VLOOKUP(B11,NORMALIZED!$A:$T,18,FALSE))</f>
        <v/>
      </c>
      <c r="J11" s="5">
        <f>IF(B11="","",VLOOKUP(B11,PRIORITIZATION!$A:$S,19,FALSE))</f>
        <v/>
      </c>
    </row>
    <row r="12">
      <c r="A12" s="5" t="n">
        <v>8</v>
      </c>
      <c r="B12" s="5">
        <f>IFERROR(INDEX(PRIORITIZATION!$A$4:$A$200, MATCH(A12, PRIORITIZATION!$Q$4:$Q$200,0)),"")</f>
        <v/>
      </c>
      <c r="C12" s="5">
        <f>IF(B12="","",VLOOKUP(B12,PRIORITIZATION!$A:$S,2,FALSE))</f>
        <v/>
      </c>
      <c r="D12" s="5">
        <f>IF(B12="","",VLOOKUP(B12,PRIORITIZATION!$A:$S,4,FALSE))</f>
        <v/>
      </c>
      <c r="E12" s="5">
        <f>IF(B12="","",VLOOKUP(B12,PRIORITIZATION!$A:$S,5,FALSE))</f>
        <v/>
      </c>
      <c r="F12" s="5">
        <f>IF(B12="","",VLOOKUP(B12,PRIORITIZATION!$A:$S,16,FALSE))</f>
        <v/>
      </c>
      <c r="G12" s="5">
        <f>IF(B12="","",VLOOKUP(B12,RISK_ENGINE!$A:$N,14,FALSE))</f>
        <v/>
      </c>
      <c r="H12" s="5">
        <f>IF(B12="","",VLOOKUP(B12,PRIORITIZATION!$A:$S,18,FALSE))</f>
        <v/>
      </c>
      <c r="I12" s="5">
        <f>IF(B12="","",VLOOKUP(B12,NORMALIZED!$A:$T,18,FALSE))</f>
        <v/>
      </c>
      <c r="J12" s="5">
        <f>IF(B12="","",VLOOKUP(B12,PRIORITIZATION!$A:$S,19,FALSE))</f>
        <v/>
      </c>
    </row>
    <row r="13">
      <c r="A13" s="5" t="n">
        <v>9</v>
      </c>
      <c r="B13" s="5">
        <f>IFERROR(INDEX(PRIORITIZATION!$A$4:$A$200, MATCH(A13, PRIORITIZATION!$Q$4:$Q$200,0)),"")</f>
        <v/>
      </c>
      <c r="C13" s="5">
        <f>IF(B13="","",VLOOKUP(B13,PRIORITIZATION!$A:$S,2,FALSE))</f>
        <v/>
      </c>
      <c r="D13" s="5">
        <f>IF(B13="","",VLOOKUP(B13,PRIORITIZATION!$A:$S,4,FALSE))</f>
        <v/>
      </c>
      <c r="E13" s="5">
        <f>IF(B13="","",VLOOKUP(B13,PRIORITIZATION!$A:$S,5,FALSE))</f>
        <v/>
      </c>
      <c r="F13" s="5">
        <f>IF(B13="","",VLOOKUP(B13,PRIORITIZATION!$A:$S,16,FALSE))</f>
        <v/>
      </c>
      <c r="G13" s="5">
        <f>IF(B13="","",VLOOKUP(B13,RISK_ENGINE!$A:$N,14,FALSE))</f>
        <v/>
      </c>
      <c r="H13" s="5">
        <f>IF(B13="","",VLOOKUP(B13,PRIORITIZATION!$A:$S,18,FALSE))</f>
        <v/>
      </c>
      <c r="I13" s="5">
        <f>IF(B13="","",VLOOKUP(B13,NORMALIZED!$A:$T,18,FALSE))</f>
        <v/>
      </c>
      <c r="J13" s="5">
        <f>IF(B13="","",VLOOKUP(B13,PRIORITIZATION!$A:$S,19,FALSE))</f>
        <v/>
      </c>
    </row>
    <row r="14">
      <c r="A14" s="5" t="n">
        <v>10</v>
      </c>
      <c r="B14" s="5">
        <f>IFERROR(INDEX(PRIORITIZATION!$A$4:$A$200, MATCH(A14, PRIORITIZATION!$Q$4:$Q$200,0)),"")</f>
        <v/>
      </c>
      <c r="C14" s="5">
        <f>IF(B14="","",VLOOKUP(B14,PRIORITIZATION!$A:$S,2,FALSE))</f>
        <v/>
      </c>
      <c r="D14" s="5">
        <f>IF(B14="","",VLOOKUP(B14,PRIORITIZATION!$A:$S,4,FALSE))</f>
        <v/>
      </c>
      <c r="E14" s="5">
        <f>IF(B14="","",VLOOKUP(B14,PRIORITIZATION!$A:$S,5,FALSE))</f>
        <v/>
      </c>
      <c r="F14" s="5">
        <f>IF(B14="","",VLOOKUP(B14,PRIORITIZATION!$A:$S,16,FALSE))</f>
        <v/>
      </c>
      <c r="G14" s="5">
        <f>IF(B14="","",VLOOKUP(B14,RISK_ENGINE!$A:$N,14,FALSE))</f>
        <v/>
      </c>
      <c r="H14" s="5">
        <f>IF(B14="","",VLOOKUP(B14,PRIORITIZATION!$A:$S,18,FALSE))</f>
        <v/>
      </c>
      <c r="I14" s="5">
        <f>IF(B14="","",VLOOKUP(B14,NORMALIZED!$A:$T,18,FALSE))</f>
        <v/>
      </c>
      <c r="J14" s="5">
        <f>IF(B14="","",VLOOKUP(B14,PRIORITIZATION!$A:$S,19,FALSE))</f>
        <v/>
      </c>
    </row>
    <row r="15">
      <c r="A15" s="5" t="n">
        <v>11</v>
      </c>
      <c r="B15" s="5">
        <f>IFERROR(INDEX(PRIORITIZATION!$A$4:$A$200, MATCH(A15, PRIORITIZATION!$Q$4:$Q$200,0)),"")</f>
        <v/>
      </c>
      <c r="C15" s="5">
        <f>IF(B15="","",VLOOKUP(B15,PRIORITIZATION!$A:$S,2,FALSE))</f>
        <v/>
      </c>
      <c r="D15" s="5">
        <f>IF(B15="","",VLOOKUP(B15,PRIORITIZATION!$A:$S,4,FALSE))</f>
        <v/>
      </c>
      <c r="E15" s="5">
        <f>IF(B15="","",VLOOKUP(B15,PRIORITIZATION!$A:$S,5,FALSE))</f>
        <v/>
      </c>
      <c r="F15" s="5">
        <f>IF(B15="","",VLOOKUP(B15,PRIORITIZATION!$A:$S,16,FALSE))</f>
        <v/>
      </c>
      <c r="G15" s="5">
        <f>IF(B15="","",VLOOKUP(B15,RISK_ENGINE!$A:$N,14,FALSE))</f>
        <v/>
      </c>
      <c r="H15" s="5">
        <f>IF(B15="","",VLOOKUP(B15,PRIORITIZATION!$A:$S,18,FALSE))</f>
        <v/>
      </c>
      <c r="I15" s="5">
        <f>IF(B15="","",VLOOKUP(B15,NORMALIZED!$A:$T,18,FALSE))</f>
        <v/>
      </c>
      <c r="J15" s="5">
        <f>IF(B15="","",VLOOKUP(B15,PRIORITIZATION!$A:$S,19,FALSE))</f>
        <v/>
      </c>
    </row>
    <row r="16">
      <c r="A16" s="5" t="n">
        <v>12</v>
      </c>
      <c r="B16" s="5">
        <f>IFERROR(INDEX(PRIORITIZATION!$A$4:$A$200, MATCH(A16, PRIORITIZATION!$Q$4:$Q$200,0)),"")</f>
        <v/>
      </c>
      <c r="C16" s="5">
        <f>IF(B16="","",VLOOKUP(B16,PRIORITIZATION!$A:$S,2,FALSE))</f>
        <v/>
      </c>
      <c r="D16" s="5">
        <f>IF(B16="","",VLOOKUP(B16,PRIORITIZATION!$A:$S,4,FALSE))</f>
        <v/>
      </c>
      <c r="E16" s="5">
        <f>IF(B16="","",VLOOKUP(B16,PRIORITIZATION!$A:$S,5,FALSE))</f>
        <v/>
      </c>
      <c r="F16" s="5">
        <f>IF(B16="","",VLOOKUP(B16,PRIORITIZATION!$A:$S,16,FALSE))</f>
        <v/>
      </c>
      <c r="G16" s="5">
        <f>IF(B16="","",VLOOKUP(B16,RISK_ENGINE!$A:$N,14,FALSE))</f>
        <v/>
      </c>
      <c r="H16" s="5">
        <f>IF(B16="","",VLOOKUP(B16,PRIORITIZATION!$A:$S,18,FALSE))</f>
        <v/>
      </c>
      <c r="I16" s="5">
        <f>IF(B16="","",VLOOKUP(B16,NORMALIZED!$A:$T,18,FALSE))</f>
        <v/>
      </c>
      <c r="J16" s="5">
        <f>IF(B16="","",VLOOKUP(B16,PRIORITIZATION!$A:$S,19,FALSE))</f>
        <v/>
      </c>
    </row>
    <row r="17">
      <c r="A17" s="5" t="n">
        <v>13</v>
      </c>
      <c r="B17" s="5">
        <f>IFERROR(INDEX(PRIORITIZATION!$A$4:$A$200, MATCH(A17, PRIORITIZATION!$Q$4:$Q$200,0)),"")</f>
        <v/>
      </c>
      <c r="C17" s="5">
        <f>IF(B17="","",VLOOKUP(B17,PRIORITIZATION!$A:$S,2,FALSE))</f>
        <v/>
      </c>
      <c r="D17" s="5">
        <f>IF(B17="","",VLOOKUP(B17,PRIORITIZATION!$A:$S,4,FALSE))</f>
        <v/>
      </c>
      <c r="E17" s="5">
        <f>IF(B17="","",VLOOKUP(B17,PRIORITIZATION!$A:$S,5,FALSE))</f>
        <v/>
      </c>
      <c r="F17" s="5">
        <f>IF(B17="","",VLOOKUP(B17,PRIORITIZATION!$A:$S,16,FALSE))</f>
        <v/>
      </c>
      <c r="G17" s="5">
        <f>IF(B17="","",VLOOKUP(B17,RISK_ENGINE!$A:$N,14,FALSE))</f>
        <v/>
      </c>
      <c r="H17" s="5">
        <f>IF(B17="","",VLOOKUP(B17,PRIORITIZATION!$A:$S,18,FALSE))</f>
        <v/>
      </c>
      <c r="I17" s="5">
        <f>IF(B17="","",VLOOKUP(B17,NORMALIZED!$A:$T,18,FALSE))</f>
        <v/>
      </c>
      <c r="J17" s="5">
        <f>IF(B17="","",VLOOKUP(B17,PRIORITIZATION!$A:$S,19,FALSE))</f>
        <v/>
      </c>
    </row>
    <row r="18">
      <c r="A18" s="5" t="n">
        <v>14</v>
      </c>
      <c r="B18" s="5">
        <f>IFERROR(INDEX(PRIORITIZATION!$A$4:$A$200, MATCH(A18, PRIORITIZATION!$Q$4:$Q$200,0)),"")</f>
        <v/>
      </c>
      <c r="C18" s="5">
        <f>IF(B18="","",VLOOKUP(B18,PRIORITIZATION!$A:$S,2,FALSE))</f>
        <v/>
      </c>
      <c r="D18" s="5">
        <f>IF(B18="","",VLOOKUP(B18,PRIORITIZATION!$A:$S,4,FALSE))</f>
        <v/>
      </c>
      <c r="E18" s="5">
        <f>IF(B18="","",VLOOKUP(B18,PRIORITIZATION!$A:$S,5,FALSE))</f>
        <v/>
      </c>
      <c r="F18" s="5">
        <f>IF(B18="","",VLOOKUP(B18,PRIORITIZATION!$A:$S,16,FALSE))</f>
        <v/>
      </c>
      <c r="G18" s="5">
        <f>IF(B18="","",VLOOKUP(B18,RISK_ENGINE!$A:$N,14,FALSE))</f>
        <v/>
      </c>
      <c r="H18" s="5">
        <f>IF(B18="","",VLOOKUP(B18,PRIORITIZATION!$A:$S,18,FALSE))</f>
        <v/>
      </c>
      <c r="I18" s="5">
        <f>IF(B18="","",VLOOKUP(B18,NORMALIZED!$A:$T,18,FALSE))</f>
        <v/>
      </c>
      <c r="J18" s="5">
        <f>IF(B18="","",VLOOKUP(B18,PRIORITIZATION!$A:$S,19,FALSE))</f>
        <v/>
      </c>
    </row>
    <row r="19">
      <c r="A19" s="5" t="n">
        <v>15</v>
      </c>
      <c r="B19" s="5">
        <f>IFERROR(INDEX(PRIORITIZATION!$A$4:$A$200, MATCH(A19, PRIORITIZATION!$Q$4:$Q$200,0)),"")</f>
        <v/>
      </c>
      <c r="C19" s="5">
        <f>IF(B19="","",VLOOKUP(B19,PRIORITIZATION!$A:$S,2,FALSE))</f>
        <v/>
      </c>
      <c r="D19" s="5">
        <f>IF(B19="","",VLOOKUP(B19,PRIORITIZATION!$A:$S,4,FALSE))</f>
        <v/>
      </c>
      <c r="E19" s="5">
        <f>IF(B19="","",VLOOKUP(B19,PRIORITIZATION!$A:$S,5,FALSE))</f>
        <v/>
      </c>
      <c r="F19" s="5">
        <f>IF(B19="","",VLOOKUP(B19,PRIORITIZATION!$A:$S,16,FALSE))</f>
        <v/>
      </c>
      <c r="G19" s="5">
        <f>IF(B19="","",VLOOKUP(B19,RISK_ENGINE!$A:$N,14,FALSE))</f>
        <v/>
      </c>
      <c r="H19" s="5">
        <f>IF(B19="","",VLOOKUP(B19,PRIORITIZATION!$A:$S,18,FALSE))</f>
        <v/>
      </c>
      <c r="I19" s="5">
        <f>IF(B19="","",VLOOKUP(B19,NORMALIZED!$A:$T,18,FALSE))</f>
        <v/>
      </c>
      <c r="J19" s="5">
        <f>IF(B19="","",VLOOKUP(B19,PRIORITIZATION!$A:$S,19,FALSE))</f>
        <v/>
      </c>
    </row>
    <row r="20">
      <c r="A20" s="5" t="n">
        <v>16</v>
      </c>
      <c r="B20" s="5">
        <f>IFERROR(INDEX(PRIORITIZATION!$A$4:$A$200, MATCH(A20, PRIORITIZATION!$Q$4:$Q$200,0)),"")</f>
        <v/>
      </c>
      <c r="C20" s="5">
        <f>IF(B20="","",VLOOKUP(B20,PRIORITIZATION!$A:$S,2,FALSE))</f>
        <v/>
      </c>
      <c r="D20" s="5">
        <f>IF(B20="","",VLOOKUP(B20,PRIORITIZATION!$A:$S,4,FALSE))</f>
        <v/>
      </c>
      <c r="E20" s="5">
        <f>IF(B20="","",VLOOKUP(B20,PRIORITIZATION!$A:$S,5,FALSE))</f>
        <v/>
      </c>
      <c r="F20" s="5">
        <f>IF(B20="","",VLOOKUP(B20,PRIORITIZATION!$A:$S,16,FALSE))</f>
        <v/>
      </c>
      <c r="G20" s="5">
        <f>IF(B20="","",VLOOKUP(B20,RISK_ENGINE!$A:$N,14,FALSE))</f>
        <v/>
      </c>
      <c r="H20" s="5">
        <f>IF(B20="","",VLOOKUP(B20,PRIORITIZATION!$A:$S,18,FALSE))</f>
        <v/>
      </c>
      <c r="I20" s="5">
        <f>IF(B20="","",VLOOKUP(B20,NORMALIZED!$A:$T,18,FALSE))</f>
        <v/>
      </c>
      <c r="J20" s="5">
        <f>IF(B20="","",VLOOKUP(B20,PRIORITIZATION!$A:$S,19,FALSE))</f>
        <v/>
      </c>
    </row>
    <row r="21">
      <c r="A21" s="5" t="n">
        <v>17</v>
      </c>
      <c r="B21" s="5">
        <f>IFERROR(INDEX(PRIORITIZATION!$A$4:$A$200, MATCH(A21, PRIORITIZATION!$Q$4:$Q$200,0)),"")</f>
        <v/>
      </c>
      <c r="C21" s="5">
        <f>IF(B21="","",VLOOKUP(B21,PRIORITIZATION!$A:$S,2,FALSE))</f>
        <v/>
      </c>
      <c r="D21" s="5">
        <f>IF(B21="","",VLOOKUP(B21,PRIORITIZATION!$A:$S,4,FALSE))</f>
        <v/>
      </c>
      <c r="E21" s="5">
        <f>IF(B21="","",VLOOKUP(B21,PRIORITIZATION!$A:$S,5,FALSE))</f>
        <v/>
      </c>
      <c r="F21" s="5">
        <f>IF(B21="","",VLOOKUP(B21,PRIORITIZATION!$A:$S,16,FALSE))</f>
        <v/>
      </c>
      <c r="G21" s="5">
        <f>IF(B21="","",VLOOKUP(B21,RISK_ENGINE!$A:$N,14,FALSE))</f>
        <v/>
      </c>
      <c r="H21" s="5">
        <f>IF(B21="","",VLOOKUP(B21,PRIORITIZATION!$A:$S,18,FALSE))</f>
        <v/>
      </c>
      <c r="I21" s="5">
        <f>IF(B21="","",VLOOKUP(B21,NORMALIZED!$A:$T,18,FALSE))</f>
        <v/>
      </c>
      <c r="J21" s="5">
        <f>IF(B21="","",VLOOKUP(B21,PRIORITIZATION!$A:$S,19,FALSE))</f>
        <v/>
      </c>
    </row>
    <row r="22">
      <c r="A22" s="5" t="n">
        <v>18</v>
      </c>
      <c r="B22" s="5">
        <f>IFERROR(INDEX(PRIORITIZATION!$A$4:$A$200, MATCH(A22, PRIORITIZATION!$Q$4:$Q$200,0)),"")</f>
        <v/>
      </c>
      <c r="C22" s="5">
        <f>IF(B22="","",VLOOKUP(B22,PRIORITIZATION!$A:$S,2,FALSE))</f>
        <v/>
      </c>
      <c r="D22" s="5">
        <f>IF(B22="","",VLOOKUP(B22,PRIORITIZATION!$A:$S,4,FALSE))</f>
        <v/>
      </c>
      <c r="E22" s="5">
        <f>IF(B22="","",VLOOKUP(B22,PRIORITIZATION!$A:$S,5,FALSE))</f>
        <v/>
      </c>
      <c r="F22" s="5">
        <f>IF(B22="","",VLOOKUP(B22,PRIORITIZATION!$A:$S,16,FALSE))</f>
        <v/>
      </c>
      <c r="G22" s="5">
        <f>IF(B22="","",VLOOKUP(B22,RISK_ENGINE!$A:$N,14,FALSE))</f>
        <v/>
      </c>
      <c r="H22" s="5">
        <f>IF(B22="","",VLOOKUP(B22,PRIORITIZATION!$A:$S,18,FALSE))</f>
        <v/>
      </c>
      <c r="I22" s="5">
        <f>IF(B22="","",VLOOKUP(B22,NORMALIZED!$A:$T,18,FALSE))</f>
        <v/>
      </c>
      <c r="J22" s="5">
        <f>IF(B22="","",VLOOKUP(B22,PRIORITIZATION!$A:$S,19,FALSE))</f>
        <v/>
      </c>
    </row>
    <row r="23">
      <c r="A23" s="5" t="n">
        <v>19</v>
      </c>
      <c r="B23" s="5">
        <f>IFERROR(INDEX(PRIORITIZATION!$A$4:$A$200, MATCH(A23, PRIORITIZATION!$Q$4:$Q$200,0)),"")</f>
        <v/>
      </c>
      <c r="C23" s="5">
        <f>IF(B23="","",VLOOKUP(B23,PRIORITIZATION!$A:$S,2,FALSE))</f>
        <v/>
      </c>
      <c r="D23" s="5">
        <f>IF(B23="","",VLOOKUP(B23,PRIORITIZATION!$A:$S,4,FALSE))</f>
        <v/>
      </c>
      <c r="E23" s="5">
        <f>IF(B23="","",VLOOKUP(B23,PRIORITIZATION!$A:$S,5,FALSE))</f>
        <v/>
      </c>
      <c r="F23" s="5">
        <f>IF(B23="","",VLOOKUP(B23,PRIORITIZATION!$A:$S,16,FALSE))</f>
        <v/>
      </c>
      <c r="G23" s="5">
        <f>IF(B23="","",VLOOKUP(B23,RISK_ENGINE!$A:$N,14,FALSE))</f>
        <v/>
      </c>
      <c r="H23" s="5">
        <f>IF(B23="","",VLOOKUP(B23,PRIORITIZATION!$A:$S,18,FALSE))</f>
        <v/>
      </c>
      <c r="I23" s="5">
        <f>IF(B23="","",VLOOKUP(B23,NORMALIZED!$A:$T,18,FALSE))</f>
        <v/>
      </c>
      <c r="J23" s="5">
        <f>IF(B23="","",VLOOKUP(B23,PRIORITIZATION!$A:$S,19,FALSE))</f>
        <v/>
      </c>
    </row>
    <row r="24">
      <c r="A24" s="5" t="n">
        <v>20</v>
      </c>
      <c r="B24" s="5">
        <f>IFERROR(INDEX(PRIORITIZATION!$A$4:$A$200, MATCH(A24, PRIORITIZATION!$Q$4:$Q$200,0)),"")</f>
        <v/>
      </c>
      <c r="C24" s="5">
        <f>IF(B24="","",VLOOKUP(B24,PRIORITIZATION!$A:$S,2,FALSE))</f>
        <v/>
      </c>
      <c r="D24" s="5">
        <f>IF(B24="","",VLOOKUP(B24,PRIORITIZATION!$A:$S,4,FALSE))</f>
        <v/>
      </c>
      <c r="E24" s="5">
        <f>IF(B24="","",VLOOKUP(B24,PRIORITIZATION!$A:$S,5,FALSE))</f>
        <v/>
      </c>
      <c r="F24" s="5">
        <f>IF(B24="","",VLOOKUP(B24,PRIORITIZATION!$A:$S,16,FALSE))</f>
        <v/>
      </c>
      <c r="G24" s="5">
        <f>IF(B24="","",VLOOKUP(B24,RISK_ENGINE!$A:$N,14,FALSE))</f>
        <v/>
      </c>
      <c r="H24" s="5">
        <f>IF(B24="","",VLOOKUP(B24,PRIORITIZATION!$A:$S,18,FALSE))</f>
        <v/>
      </c>
      <c r="I24" s="5">
        <f>IF(B24="","",VLOOKUP(B24,NORMALIZED!$A:$T,18,FALSE))</f>
        <v/>
      </c>
      <c r="J24" s="5">
        <f>IF(B24="","",VLOOKUP(B24,PRIORITIZATION!$A:$S,19,FALSE))</f>
        <v/>
      </c>
    </row>
    <row r="27">
      <c r="A27" s="3" t="inlineStr">
        <is>
          <t>Iniciativas en riesgo (RAG=RED o AMBER)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2" t="n"/>
    </row>
    <row r="28" ht="20" customHeight="1">
      <c r="A28" s="4" t="inlineStr">
        <is>
          <t>Initiative_ID</t>
        </is>
      </c>
      <c r="B28" s="4" t="inlineStr">
        <is>
          <t>Name</t>
        </is>
      </c>
      <c r="C28" s="4" t="inlineStr">
        <is>
          <t>Owner</t>
        </is>
      </c>
      <c r="D28" s="4" t="inlineStr">
        <is>
          <t>Risk_Score</t>
        </is>
      </c>
      <c r="E28" s="4" t="inlineStr">
        <is>
          <t>RAG</t>
        </is>
      </c>
      <c r="F28" s="4" t="inlineStr">
        <is>
          <t>Why (signals)</t>
        </is>
      </c>
    </row>
    <row r="29">
      <c r="A29" s="5">
        <f>IFERROR(RISK_ENGINE!A4,"")</f>
        <v/>
      </c>
      <c r="B29" s="5">
        <f>IF(A29="","",RISK_ENGINE!B4)</f>
        <v/>
      </c>
      <c r="C29" s="5">
        <f>IF(A29="","",RISK_ENGINE!C4)</f>
        <v/>
      </c>
      <c r="D29" s="5">
        <f>IF(A29="","",RISK_ENGINE!M4)</f>
        <v/>
      </c>
      <c r="E29" s="5">
        <f>IF(A29="","",RISK_ENGINE!N4)</f>
        <v/>
      </c>
      <c r="F29" s="5">
        <f>IF(A29="","",NORMALIZED!T4)</f>
        <v/>
      </c>
    </row>
    <row r="30">
      <c r="A30" s="5">
        <f>IFERROR(RISK_ENGINE!A5,"")</f>
        <v/>
      </c>
      <c r="B30" s="5">
        <f>IF(A30="","",RISK_ENGINE!B5)</f>
        <v/>
      </c>
      <c r="C30" s="5">
        <f>IF(A30="","",RISK_ENGINE!C5)</f>
        <v/>
      </c>
      <c r="D30" s="5">
        <f>IF(A30="","",RISK_ENGINE!M5)</f>
        <v/>
      </c>
      <c r="E30" s="5">
        <f>IF(A30="","",RISK_ENGINE!N5)</f>
        <v/>
      </c>
      <c r="F30" s="5">
        <f>IF(A30="","",NORMALIZED!T5)</f>
        <v/>
      </c>
    </row>
    <row r="31">
      <c r="A31" s="5">
        <f>IFERROR(RISK_ENGINE!A6,"")</f>
        <v/>
      </c>
      <c r="B31" s="5">
        <f>IF(A31="","",RISK_ENGINE!B6)</f>
        <v/>
      </c>
      <c r="C31" s="5">
        <f>IF(A31="","",RISK_ENGINE!C6)</f>
        <v/>
      </c>
      <c r="D31" s="5">
        <f>IF(A31="","",RISK_ENGINE!M6)</f>
        <v/>
      </c>
      <c r="E31" s="5">
        <f>IF(A31="","",RISK_ENGINE!N6)</f>
        <v/>
      </c>
      <c r="F31" s="5">
        <f>IF(A31="","",NORMALIZED!T6)</f>
        <v/>
      </c>
    </row>
    <row r="32">
      <c r="A32" s="5">
        <f>IFERROR(RISK_ENGINE!A7,"")</f>
        <v/>
      </c>
      <c r="B32" s="5">
        <f>IF(A32="","",RISK_ENGINE!B7)</f>
        <v/>
      </c>
      <c r="C32" s="5">
        <f>IF(A32="","",RISK_ENGINE!C7)</f>
        <v/>
      </c>
      <c r="D32" s="5">
        <f>IF(A32="","",RISK_ENGINE!M7)</f>
        <v/>
      </c>
      <c r="E32" s="5">
        <f>IF(A32="","",RISK_ENGINE!N7)</f>
        <v/>
      </c>
      <c r="F32" s="5">
        <f>IF(A32="","",NORMALIZED!T7)</f>
        <v/>
      </c>
    </row>
    <row r="33">
      <c r="A33" s="5">
        <f>IFERROR(RISK_ENGINE!A8,"")</f>
        <v/>
      </c>
      <c r="B33" s="5">
        <f>IF(A33="","",RISK_ENGINE!B8)</f>
        <v/>
      </c>
      <c r="C33" s="5">
        <f>IF(A33="","",RISK_ENGINE!C8)</f>
        <v/>
      </c>
      <c r="D33" s="5">
        <f>IF(A33="","",RISK_ENGINE!M8)</f>
        <v/>
      </c>
      <c r="E33" s="5">
        <f>IF(A33="","",RISK_ENGINE!N8)</f>
        <v/>
      </c>
      <c r="F33" s="5">
        <f>IF(A33="","",NORMALIZED!T8)</f>
        <v/>
      </c>
    </row>
    <row r="34">
      <c r="A34" s="5">
        <f>IFERROR(RISK_ENGINE!A9,"")</f>
        <v/>
      </c>
      <c r="B34" s="5">
        <f>IF(A34="","",RISK_ENGINE!B9)</f>
        <v/>
      </c>
      <c r="C34" s="5">
        <f>IF(A34="","",RISK_ENGINE!C9)</f>
        <v/>
      </c>
      <c r="D34" s="5">
        <f>IF(A34="","",RISK_ENGINE!M9)</f>
        <v/>
      </c>
      <c r="E34" s="5">
        <f>IF(A34="","",RISK_ENGINE!N9)</f>
        <v/>
      </c>
      <c r="F34" s="5">
        <f>IF(A34="","",NORMALIZED!T9)</f>
        <v/>
      </c>
    </row>
    <row r="35">
      <c r="A35" s="5">
        <f>IFERROR(RISK_ENGINE!A10,"")</f>
        <v/>
      </c>
      <c r="B35" s="5">
        <f>IF(A35="","",RISK_ENGINE!B10)</f>
        <v/>
      </c>
      <c r="C35" s="5">
        <f>IF(A35="","",RISK_ENGINE!C10)</f>
        <v/>
      </c>
      <c r="D35" s="5">
        <f>IF(A35="","",RISK_ENGINE!M10)</f>
        <v/>
      </c>
      <c r="E35" s="5">
        <f>IF(A35="","",RISK_ENGINE!N10)</f>
        <v/>
      </c>
      <c r="F35" s="5">
        <f>IF(A35="","",NORMALIZED!T10)</f>
        <v/>
      </c>
    </row>
    <row r="36">
      <c r="A36" s="5">
        <f>IFERROR(RISK_ENGINE!A11,"")</f>
        <v/>
      </c>
      <c r="B36" s="5">
        <f>IF(A36="","",RISK_ENGINE!B11)</f>
        <v/>
      </c>
      <c r="C36" s="5">
        <f>IF(A36="","",RISK_ENGINE!C11)</f>
        <v/>
      </c>
      <c r="D36" s="5">
        <f>IF(A36="","",RISK_ENGINE!M11)</f>
        <v/>
      </c>
      <c r="E36" s="5">
        <f>IF(A36="","",RISK_ENGINE!N11)</f>
        <v/>
      </c>
      <c r="F36" s="5">
        <f>IF(A36="","",NORMALIZED!T11)</f>
        <v/>
      </c>
    </row>
    <row r="37">
      <c r="A37" s="5">
        <f>IFERROR(RISK_ENGINE!A12,"")</f>
        <v/>
      </c>
      <c r="B37" s="5">
        <f>IF(A37="","",RISK_ENGINE!B12)</f>
        <v/>
      </c>
      <c r="C37" s="5">
        <f>IF(A37="","",RISK_ENGINE!C12)</f>
        <v/>
      </c>
      <c r="D37" s="5">
        <f>IF(A37="","",RISK_ENGINE!M12)</f>
        <v/>
      </c>
      <c r="E37" s="5">
        <f>IF(A37="","",RISK_ENGINE!N12)</f>
        <v/>
      </c>
      <c r="F37" s="5">
        <f>IF(A37="","",NORMALIZED!T12)</f>
        <v/>
      </c>
    </row>
    <row r="38">
      <c r="A38" s="5">
        <f>IFERROR(RISK_ENGINE!A13,"")</f>
        <v/>
      </c>
      <c r="B38" s="5">
        <f>IF(A38="","",RISK_ENGINE!B13)</f>
        <v/>
      </c>
      <c r="C38" s="5">
        <f>IF(A38="","",RISK_ENGINE!C13)</f>
        <v/>
      </c>
      <c r="D38" s="5">
        <f>IF(A38="","",RISK_ENGINE!M13)</f>
        <v/>
      </c>
      <c r="E38" s="5">
        <f>IF(A38="","",RISK_ENGINE!N13)</f>
        <v/>
      </c>
      <c r="F38" s="5">
        <f>IF(A38="","",NORMALIZED!T13)</f>
        <v/>
      </c>
    </row>
    <row r="39">
      <c r="A39" s="5">
        <f>IFERROR(RISK_ENGINE!A14,"")</f>
        <v/>
      </c>
      <c r="B39" s="5">
        <f>IF(A39="","",RISK_ENGINE!B14)</f>
        <v/>
      </c>
      <c r="C39" s="5">
        <f>IF(A39="","",RISK_ENGINE!C14)</f>
        <v/>
      </c>
      <c r="D39" s="5">
        <f>IF(A39="","",RISK_ENGINE!M14)</f>
        <v/>
      </c>
      <c r="E39" s="5">
        <f>IF(A39="","",RISK_ENGINE!N14)</f>
        <v/>
      </c>
      <c r="F39" s="5">
        <f>IF(A39="","",NORMALIZED!T14)</f>
        <v/>
      </c>
    </row>
    <row r="40">
      <c r="A40" s="5">
        <f>IFERROR(RISK_ENGINE!A15,"")</f>
        <v/>
      </c>
      <c r="B40" s="5">
        <f>IF(A40="","",RISK_ENGINE!B15)</f>
        <v/>
      </c>
      <c r="C40" s="5">
        <f>IF(A40="","",RISK_ENGINE!C15)</f>
        <v/>
      </c>
      <c r="D40" s="5">
        <f>IF(A40="","",RISK_ENGINE!M15)</f>
        <v/>
      </c>
      <c r="E40" s="5">
        <f>IF(A40="","",RISK_ENGINE!N15)</f>
        <v/>
      </c>
      <c r="F40" s="5">
        <f>IF(A40="","",NORMALIZED!T15)</f>
        <v/>
      </c>
    </row>
    <row r="41">
      <c r="A41" s="5">
        <f>IFERROR(RISK_ENGINE!A16,"")</f>
        <v/>
      </c>
      <c r="B41" s="5">
        <f>IF(A41="","",RISK_ENGINE!B16)</f>
        <v/>
      </c>
      <c r="C41" s="5">
        <f>IF(A41="","",RISK_ENGINE!C16)</f>
        <v/>
      </c>
      <c r="D41" s="5">
        <f>IF(A41="","",RISK_ENGINE!M16)</f>
        <v/>
      </c>
      <c r="E41" s="5">
        <f>IF(A41="","",RISK_ENGINE!N16)</f>
        <v/>
      </c>
      <c r="F41" s="5">
        <f>IF(A41="","",NORMALIZED!T16)</f>
        <v/>
      </c>
    </row>
    <row r="42">
      <c r="A42" s="5">
        <f>IFERROR(RISK_ENGINE!A17,"")</f>
        <v/>
      </c>
      <c r="B42" s="5">
        <f>IF(A42="","",RISK_ENGINE!B17)</f>
        <v/>
      </c>
      <c r="C42" s="5">
        <f>IF(A42="","",RISK_ENGINE!C17)</f>
        <v/>
      </c>
      <c r="D42" s="5">
        <f>IF(A42="","",RISK_ENGINE!M17)</f>
        <v/>
      </c>
      <c r="E42" s="5">
        <f>IF(A42="","",RISK_ENGINE!N17)</f>
        <v/>
      </c>
      <c r="F42" s="5">
        <f>IF(A42="","",NORMALIZED!T17)</f>
        <v/>
      </c>
    </row>
    <row r="43">
      <c r="A43" s="5">
        <f>IFERROR(RISK_ENGINE!A18,"")</f>
        <v/>
      </c>
      <c r="B43" s="5">
        <f>IF(A43="","",RISK_ENGINE!B18)</f>
        <v/>
      </c>
      <c r="C43" s="5">
        <f>IF(A43="","",RISK_ENGINE!C18)</f>
        <v/>
      </c>
      <c r="D43" s="5">
        <f>IF(A43="","",RISK_ENGINE!M18)</f>
        <v/>
      </c>
      <c r="E43" s="5">
        <f>IF(A43="","",RISK_ENGINE!N18)</f>
        <v/>
      </c>
      <c r="F43" s="5">
        <f>IF(A43="","",NORMALIZED!T18)</f>
        <v/>
      </c>
    </row>
    <row r="44">
      <c r="A44" s="5">
        <f>IFERROR(RISK_ENGINE!A19,"")</f>
        <v/>
      </c>
      <c r="B44" s="5">
        <f>IF(A44="","",RISK_ENGINE!B19)</f>
        <v/>
      </c>
      <c r="C44" s="5">
        <f>IF(A44="","",RISK_ENGINE!C19)</f>
        <v/>
      </c>
      <c r="D44" s="5">
        <f>IF(A44="","",RISK_ENGINE!M19)</f>
        <v/>
      </c>
      <c r="E44" s="5">
        <f>IF(A44="","",RISK_ENGINE!N19)</f>
        <v/>
      </c>
      <c r="F44" s="5">
        <f>IF(A44="","",NORMALIZED!T19)</f>
        <v/>
      </c>
    </row>
  </sheetData>
  <mergeCells count="3">
    <mergeCell ref="A1:K1"/>
    <mergeCell ref="A27:J27"/>
    <mergeCell ref="A3:J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0" customWidth="1" min="4" max="4"/>
    <col width="10" customWidth="1" min="5" max="5"/>
    <col width="12" customWidth="1" min="6" max="6"/>
  </cols>
  <sheetData>
    <row r="1" ht="28" customHeight="1">
      <c r="A1" s="1" t="inlineStr">
        <is>
          <t>CHANGELOG — Update log + audit trail</t>
        </is>
      </c>
    </row>
    <row r="3" ht="20" customHeight="1">
      <c r="A3" s="4" t="inlineStr">
        <is>
          <t>Date</t>
        </is>
      </c>
      <c r="B3" s="4" t="inlineStr">
        <is>
          <t>Initiative_ID</t>
        </is>
      </c>
      <c r="C3" s="4" t="inlineStr">
        <is>
          <t>Owner</t>
        </is>
      </c>
      <c r="D3" s="4" t="inlineStr">
        <is>
          <t>Update_Summary</t>
        </is>
      </c>
      <c r="E3" s="4" t="inlineStr">
        <is>
          <t>Decision?</t>
        </is>
      </c>
      <c r="F3" s="4" t="inlineStr">
        <is>
          <t>Source</t>
        </is>
      </c>
    </row>
    <row r="4" ht="32" customHeight="1">
      <c r="A4" s="9" t="inlineStr">
        <is>
          <t>2026-02-20</t>
        </is>
      </c>
      <c r="B4" s="9" t="inlineStr">
        <is>
          <t>INIT-001</t>
        </is>
      </c>
      <c r="C4" s="9" t="inlineStr">
        <is>
          <t>PM 1</t>
        </is>
      </c>
      <c r="D4" s="10" t="inlineStr">
        <is>
          <t>Bloqueado por dependencia de Data. Necesita decisión de prioridad y recursos.</t>
        </is>
      </c>
      <c r="E4" s="9" t="inlineStr">
        <is>
          <t>YES</t>
        </is>
      </c>
      <c r="F4" s="9" t="inlineStr">
        <is>
          <t>Jira</t>
        </is>
      </c>
    </row>
    <row r="5" ht="32" customHeight="1">
      <c r="A5" s="9" t="inlineStr">
        <is>
          <t>2026-02-20</t>
        </is>
      </c>
      <c r="B5" s="9" t="inlineStr">
        <is>
          <t>INIT-003</t>
        </is>
      </c>
      <c r="C5" s="9" t="inlineStr">
        <is>
          <t>PM 2</t>
        </is>
      </c>
      <c r="D5" s="10" t="inlineStr">
        <is>
          <t>Avance 70%. Riesgo: proveedor atrasado 2 semanas. Mitigación propuesta.</t>
        </is>
      </c>
      <c r="E5" s="9" t="inlineStr">
        <is>
          <t>NO</t>
        </is>
      </c>
      <c r="F5" s="9" t="inlineStr">
        <is>
          <t>Email</t>
        </is>
      </c>
    </row>
    <row r="6" ht="32" customHeight="1">
      <c r="A6" s="9" t="inlineStr">
        <is>
          <t>2026-02-19</t>
        </is>
      </c>
      <c r="B6" s="9" t="inlineStr">
        <is>
          <t>INIT-002</t>
        </is>
      </c>
      <c r="C6" s="9" t="inlineStr">
        <is>
          <t>PM 3</t>
        </is>
      </c>
      <c r="D6" s="10" t="inlineStr">
        <is>
          <t>Scope cambió. Estimación sube +15%. Se requiere aprobación de comité.</t>
        </is>
      </c>
      <c r="E6" s="9" t="inlineStr">
        <is>
          <t>YES</t>
        </is>
      </c>
      <c r="F6" s="9" t="inlineStr">
        <is>
          <t>Asana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28" customHeight="1">
      <c r="A1" s="1" t="inlineStr">
        <is>
          <t>PROMPT_PACK — Copy/paste prompts for AI summaries</t>
        </is>
      </c>
    </row>
    <row r="3">
      <c r="A3" s="3" t="inlineStr">
        <is>
          <t>Prompts listos (pegar en ChatGPT)</t>
        </is>
      </c>
      <c r="B3" s="21" t="n"/>
      <c r="C3" s="21" t="n"/>
      <c r="D3" s="22" t="n"/>
    </row>
    <row r="4">
      <c r="A4" s="18" t="inlineStr">
        <is>
          <t>Resumen ejecutivo semanal</t>
        </is>
      </c>
      <c r="B4" s="10" t="inlineStr">
        <is>
          <t>Actúa como PMO/Product Ops. Con los updates del INBOX (texto), genera: 1) Top 10 iniciativas por impacto, 2) Iniciativas en riesgo (RAG), 3) Decisiones requeridas (con opciones), 4) Próximas acciones y dueños. Mantén nombres anonimizados.</t>
        </is>
      </c>
    </row>
    <row r="6">
      <c r="A6" s="18" t="inlineStr">
        <is>
          <t>Risk register automático</t>
        </is>
      </c>
      <c r="B6" s="10" t="inlineStr">
        <is>
          <t>Con los updates, construye un risk register: riesgo, severidad (1-5), probabilidad (1-5), score, mitigación, owner, fecha. Identifica dependencias y riesgos por proveedor/data.</t>
        </is>
      </c>
    </row>
    <row r="8">
      <c r="A8" s="18" t="inlineStr">
        <is>
          <t>Email a stakeholders</t>
        </is>
      </c>
      <c r="B8" s="10" t="inlineStr">
        <is>
          <t>Redacta un correo ejecutivo de 10 líneas para stakeholders: estado, logros, riesgos, decisiones requeridas y próximos hitos. Tono directo y de gestión.</t>
        </is>
      </c>
    </row>
    <row r="10">
      <c r="A10" s="18" t="inlineStr">
        <is>
          <t>Notas de comité (1 slide)</t>
        </is>
      </c>
      <c r="B10" s="10" t="inlineStr">
        <is>
          <t>Genera contenido para 1 slide: 'Estado portafolio', 'Top prioridades', 'Riesgos', 'Decisiones'. Incluye bullets cortos y números cuando existan.</t>
        </is>
      </c>
    </row>
  </sheetData>
  <mergeCells count="2">
    <mergeCell ref="A1:K1"/>
    <mergeCell ref="A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" customWidth="1" min="3" max="3"/>
    <col width="30" customWidth="1" min="4" max="4"/>
    <col width="30" customWidth="1" min="5" max="5"/>
    <col width="30" customWidth="1" min="6" max="6"/>
  </cols>
  <sheetData>
    <row r="1" ht="28" customHeight="1">
      <c r="A1" s="1" t="inlineStr">
        <is>
          <t>DASHBOARD — Management view</t>
        </is>
      </c>
    </row>
    <row r="3">
      <c r="A3" s="3" t="inlineStr">
        <is>
          <t>Resumen de portafolio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2" t="n"/>
    </row>
    <row r="4" ht="20" customHeight="1">
      <c r="A4" s="4" t="inlineStr">
        <is>
          <t>KPI</t>
        </is>
      </c>
      <c r="B4" s="4" t="inlineStr">
        <is>
          <t>Value</t>
        </is>
      </c>
      <c r="D4" s="4" t="inlineStr">
        <is>
          <t>RAG</t>
        </is>
      </c>
      <c r="E4" s="4" t="inlineStr">
        <is>
          <t>Count</t>
        </is>
      </c>
    </row>
    <row r="5">
      <c r="A5" s="5" t="inlineStr">
        <is>
          <t>Total iniciativas</t>
        </is>
      </c>
      <c r="B5" s="14">
        <f>COUNTA(NORMALIZED!A4:A200)</f>
        <v/>
      </c>
      <c r="D5" s="19" t="inlineStr">
        <is>
          <t>GREEN</t>
        </is>
      </c>
      <c r="E5" s="20">
        <f>COUNTIF(RISK_ENGINE!N4:N200,"GREEN")</f>
        <v/>
      </c>
    </row>
    <row r="6">
      <c r="A6" s="5" t="inlineStr">
        <is>
          <t>En riesgo (RED)</t>
        </is>
      </c>
      <c r="B6" s="14">
        <f>COUNTIF(RISK_ENGINE!N4:N200,"RED")</f>
        <v/>
      </c>
      <c r="D6" s="19" t="inlineStr">
        <is>
          <t>AMBER</t>
        </is>
      </c>
      <c r="E6" s="20">
        <f>COUNTIF(RISK_ENGINE!N4:N200,"AMBER")</f>
        <v/>
      </c>
    </row>
    <row r="7">
      <c r="A7" s="5" t="inlineStr">
        <is>
          <t>En riesgo (AMBER)</t>
        </is>
      </c>
      <c r="B7" s="14">
        <f>COUNTIF(RISK_ENGINE!N4:N200,"AMBER")</f>
        <v/>
      </c>
      <c r="D7" s="19" t="inlineStr">
        <is>
          <t>RED</t>
        </is>
      </c>
      <c r="E7" s="20">
        <f>COUNTIF(RISK_ENGINE!N4:N200,"RED")</f>
        <v/>
      </c>
    </row>
    <row r="8">
      <c r="A8" s="5" t="inlineStr">
        <is>
          <t>Bloqueadas</t>
        </is>
      </c>
      <c r="B8" s="14">
        <f>SUM(INBOX!K4:K200)</f>
        <v/>
      </c>
    </row>
    <row r="9">
      <c r="A9" s="5" t="inlineStr">
        <is>
          <t>Decisiones requeridas</t>
        </is>
      </c>
      <c r="B9" s="14">
        <f>COUNTIF(INBOX!I4:I200,"YES")</f>
        <v/>
      </c>
    </row>
  </sheetData>
  <mergeCells count="2">
    <mergeCell ref="A1:K1"/>
    <mergeCell ref="A3:J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2026-02-23T18:10:51Z</dcterms:created>
  <dcterms:modified xmlns:dcterms="http://purl.org/dc/terms/" xmlns:xsi="http://www.w3.org/2001/XMLSchema-instance" xsi:type="dcterms:W3CDTF">2026-02-23T18:17:25Z</dcterms:modified>
</cp:coreProperties>
</file>
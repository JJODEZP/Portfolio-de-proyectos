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arametros" sheetId="2" state="visible" r:id="rId2"/>
    <sheet xmlns:r="http://schemas.openxmlformats.org/officeDocument/2006/relationships" name="Plan_Cuentas" sheetId="3" state="visible" r:id="rId3"/>
    <sheet xmlns:r="http://schemas.openxmlformats.org/officeDocument/2006/relationships" name="Libro_Diario" sheetId="4" state="visible" r:id="rId4"/>
    <sheet xmlns:r="http://schemas.openxmlformats.org/officeDocument/2006/relationships" name="Mapeo" sheetId="5" state="visible" r:id="rId5"/>
    <sheet xmlns:r="http://schemas.openxmlformats.org/officeDocument/2006/relationships" name="Balance" sheetId="6" state="visible" r:id="rId6"/>
    <sheet xmlns:r="http://schemas.openxmlformats.org/officeDocument/2006/relationships" name="Resultados" sheetId="7" state="visible" r:id="rId7"/>
    <sheet xmlns:r="http://schemas.openxmlformats.org/officeDocument/2006/relationships" name="Flujo_Caja" sheetId="8" state="visible" r:id="rId8"/>
    <sheet xmlns:r="http://schemas.openxmlformats.org/officeDocument/2006/relationships" name="KPIs" sheetId="9" state="visible" r:id="rId9"/>
    <sheet xmlns:r="http://schemas.openxmlformats.org/officeDocument/2006/relationships" name="Vista_Gerencial" sheetId="10" state="visible" r:id="rId10"/>
    <sheet xmlns:r="http://schemas.openxmlformats.org/officeDocument/2006/relationships" name="Check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$#,##0_);[Red]($#,##0);-"/>
    <numFmt numFmtId="166" formatCode="0.0%"/>
    <numFmt numFmtId="167" formatCode="0.0"/>
  </numFmts>
  <fonts count="5">
    <font>
      <name val="Calibri"/>
      <family val="2"/>
      <color theme="1"/>
      <sz val="11"/>
      <scheme val="minor"/>
    </font>
    <font>
      <b val="1"/>
      <sz val="14"/>
    </font>
    <font>
      <color rgb="000000FF"/>
    </font>
    <font>
      <b val="1"/>
    </font>
    <font>
      <b val="1"/>
      <sz val="16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EDEDED"/>
      </patternFill>
    </fill>
  </fills>
  <borders count="9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 style="thin">
        <color rgb="00D9D9D9"/>
      </left>
      <right/>
      <top/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 style="thin">
        <color rgb="00D9D9D9"/>
      </right>
      <top/>
      <bottom/>
      <diagonal/>
    </border>
    <border>
      <left style="thin">
        <color rgb="00D9D9D9"/>
      </left>
      <right/>
      <top/>
      <bottom style="thin">
        <color rgb="00D9D9D9"/>
      </bottom>
      <diagonal/>
    </border>
    <border>
      <left/>
      <right style="thin">
        <color rgb="00D9D9D9"/>
      </right>
      <top/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0" fillId="0" borderId="1" pivotButton="0" quotePrefix="0" xfId="0"/>
    <xf numFmtId="0" fontId="2" fillId="2" borderId="1" pivotButton="0" quotePrefix="0" xfId="0"/>
    <xf numFmtId="0" fontId="3" fillId="3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3" fillId="0" borderId="1" pivotButton="0" quotePrefix="0" xfId="0"/>
    <xf numFmtId="0" fontId="3" fillId="0" borderId="0" pivotButton="0" quotePrefix="0" xfId="0"/>
    <xf numFmtId="165" fontId="0" fillId="0" borderId="0" pivotButton="0" quotePrefix="0" xfId="0"/>
    <xf numFmtId="166" fontId="0" fillId="0" borderId="1" pivotButton="0" quotePrefix="0" xfId="0"/>
    <xf numFmtId="167" fontId="0" fillId="0" borderId="1" pivotButton="0" quotePrefix="0" xfId="0"/>
    <xf numFmtId="0" fontId="4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5" fontId="1" fillId="4" borderId="1" applyAlignment="1" pivotButton="0" quotePrefix="0" xfId="0">
      <alignment horizontal="center" vertical="center"/>
    </xf>
    <xf numFmtId="166" fontId="1" fillId="4" borderId="1" applyAlignment="1" pivotButton="0" quotePrefix="0" xfId="0">
      <alignment horizontal="center" vertical="center"/>
    </xf>
    <xf numFmtId="167" fontId="1" fillId="4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Ventas y Resultado Neto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'Vista_Gerencial'!B8</f>
            </strRef>
          </tx>
          <spPr>
            <a:ln xmlns:a="http://schemas.openxmlformats.org/drawingml/2006/main">
              <a:prstDash val="solid"/>
            </a:ln>
          </spPr>
          <cat>
            <numRef>
              <f>'Vista_Gerencial'!$A$9:$A$20</f>
            </numRef>
          </cat>
          <val>
            <numRef>
              <f>'Vista_Gerencial'!$B$9:$B$20</f>
            </numRef>
          </val>
        </ser>
        <ser>
          <idx val="1"/>
          <order val="1"/>
          <tx>
            <strRef>
              <f>'Vista_Gerencial'!D8</f>
            </strRef>
          </tx>
          <spPr>
            <a:ln xmlns:a="http://schemas.openxmlformats.org/drawingml/2006/main">
              <a:prstDash val="solid"/>
            </a:ln>
          </spPr>
          <cat>
            <numRef>
              <f>'Vista_Gerencial'!$A$9:$A$20</f>
            </numRef>
          </cat>
          <val>
            <numRef>
              <f>'Vista_Gerencial'!$D$9:$D$20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CLP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Margen EBITDA % y Caja Final</a:t>
            </a:r>
          </a:p>
        </rich>
      </tx>
    </title>
    <plotArea>
      <lineChart>
        <grouping val="standard"/>
        <ser>
          <idx val="0"/>
          <order val="0"/>
          <tx>
            <strRef>
              <f>'Vista_Gerencial'!C8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'Vista_Gerencial'!$A$9:$A$20</f>
            </numRef>
          </cat>
          <val>
            <numRef>
              <f>'Vista_Gerencial'!$C$9:$C$20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6</col>
      <colOff>0</colOff>
      <row>7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22</row>
      <rowOff>0</rowOff>
    </from>
    <ext cx="504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0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FP&amp;A Corporativo desde Libro Diario (Template)</t>
        </is>
      </c>
    </row>
    <row r="3">
      <c r="A3" t="inlineStr">
        <is>
          <t>Objetivo: transformar asientos contables (libro diario) en EEFF + KPIs + vista gerencial.</t>
        </is>
      </c>
    </row>
    <row r="4">
      <c r="A4" t="inlineStr">
        <is>
          <t>Pegar asientos en "Libro_Diario" y mantener "Plan_Cuentas" + "Mapeo".</t>
        </is>
      </c>
    </row>
    <row r="5">
      <c r="A5" t="inlineStr">
        <is>
          <t>Las vistas son mensuales; se pueden extender.</t>
        </is>
      </c>
    </row>
    <row r="6">
      <c r="A6" t="inlineStr">
        <is>
          <t>Template para uso interno / corporativo (sueldos, caja, pagos, CxC, CxP).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6" customWidth="1" min="2" max="2"/>
  </cols>
  <sheetData>
    <row r="1">
      <c r="A1" s="1" t="inlineStr">
        <is>
          <t>Parámetros</t>
        </is>
      </c>
    </row>
    <row r="3">
      <c r="A3" s="2" t="inlineStr">
        <is>
          <t>Año</t>
        </is>
      </c>
      <c r="B3" s="3" t="n">
        <v>2026</v>
      </c>
    </row>
    <row r="4">
      <c r="A4" s="2" t="inlineStr">
        <is>
          <t>Mes inicio</t>
        </is>
      </c>
      <c r="B4" s="3" t="n">
        <v>1</v>
      </c>
    </row>
    <row r="5">
      <c r="A5" s="2" t="inlineStr">
        <is>
          <t>Mes fin</t>
        </is>
      </c>
      <c r="B5" s="3" t="n">
        <v>12</v>
      </c>
    </row>
    <row r="6">
      <c r="A6" s="2" t="inlineStr">
        <is>
          <t>Moneda</t>
        </is>
      </c>
      <c r="B6" s="3" t="inlineStr">
        <is>
          <t>CLP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12" customWidth="1" min="3" max="3"/>
    <col width="14" customWidth="1" min="4" max="4"/>
    <col width="16" customWidth="1" min="5" max="5"/>
    <col width="18" customWidth="1" min="6" max="6"/>
    <col width="16" customWidth="1" min="7" max="7"/>
    <col width="10" customWidth="1" min="8" max="8"/>
  </cols>
  <sheetData>
    <row r="1">
      <c r="A1" s="4" t="inlineStr">
        <is>
          <t>Cuenta_ID</t>
        </is>
      </c>
      <c r="B1" s="4" t="inlineStr">
        <is>
          <t>Nombre_Cuenta</t>
        </is>
      </c>
      <c r="C1" s="4" t="inlineStr">
        <is>
          <t>Naturaleza</t>
        </is>
      </c>
      <c r="D1" s="4" t="inlineStr">
        <is>
          <t>Tipo_N1</t>
        </is>
      </c>
      <c r="E1" s="4" t="inlineStr">
        <is>
          <t>Tipo_N2</t>
        </is>
      </c>
      <c r="F1" s="4" t="inlineStr">
        <is>
          <t>Tipo_N3</t>
        </is>
      </c>
      <c r="G1" s="4" t="inlineStr">
        <is>
          <t>Clasificación EEFF</t>
        </is>
      </c>
      <c r="H1" s="4" t="inlineStr">
        <is>
          <t>Orden</t>
        </is>
      </c>
    </row>
    <row r="2">
      <c r="A2" s="2" t="inlineStr">
        <is>
          <t>1101</t>
        </is>
      </c>
      <c r="B2" s="2" t="inlineStr">
        <is>
          <t>Caja y Bancos</t>
        </is>
      </c>
      <c r="C2" s="2" t="inlineStr">
        <is>
          <t>Deudora</t>
        </is>
      </c>
      <c r="D2" s="2" t="inlineStr">
        <is>
          <t>Activo</t>
        </is>
      </c>
      <c r="E2" s="2" t="inlineStr">
        <is>
          <t>Corriente</t>
        </is>
      </c>
      <c r="F2" s="2" t="inlineStr">
        <is>
          <t>Caja</t>
        </is>
      </c>
      <c r="G2" s="2" t="inlineStr">
        <is>
          <t>Balance</t>
        </is>
      </c>
      <c r="H2" s="2" t="n">
        <v>10</v>
      </c>
    </row>
    <row r="3">
      <c r="A3" s="2" t="inlineStr">
        <is>
          <t>1201</t>
        </is>
      </c>
      <c r="B3" s="2" t="inlineStr">
        <is>
          <t>Cuentas por Cobrar Clientes</t>
        </is>
      </c>
      <c r="C3" s="2" t="inlineStr">
        <is>
          <t>Deudora</t>
        </is>
      </c>
      <c r="D3" s="2" t="inlineStr">
        <is>
          <t>Activo</t>
        </is>
      </c>
      <c r="E3" s="2" t="inlineStr">
        <is>
          <t>Corriente</t>
        </is>
      </c>
      <c r="F3" s="2" t="inlineStr">
        <is>
          <t>CxC</t>
        </is>
      </c>
      <c r="G3" s="2" t="inlineStr">
        <is>
          <t>Balance</t>
        </is>
      </c>
      <c r="H3" s="2" t="n">
        <v>20</v>
      </c>
    </row>
    <row r="4">
      <c r="A4" s="2" t="inlineStr">
        <is>
          <t>1301</t>
        </is>
      </c>
      <c r="B4" s="2" t="inlineStr">
        <is>
          <t>Inventarios</t>
        </is>
      </c>
      <c r="C4" s="2" t="inlineStr">
        <is>
          <t>Deudora</t>
        </is>
      </c>
      <c r="D4" s="2" t="inlineStr">
        <is>
          <t>Activo</t>
        </is>
      </c>
      <c r="E4" s="2" t="inlineStr">
        <is>
          <t>Corriente</t>
        </is>
      </c>
      <c r="F4" s="2" t="inlineStr">
        <is>
          <t>Inventario</t>
        </is>
      </c>
      <c r="G4" s="2" t="inlineStr">
        <is>
          <t>Balance</t>
        </is>
      </c>
      <c r="H4" s="2" t="n">
        <v>30</v>
      </c>
    </row>
    <row r="5">
      <c r="A5" s="2" t="inlineStr">
        <is>
          <t>1501</t>
        </is>
      </c>
      <c r="B5" s="2" t="inlineStr">
        <is>
          <t>Propiedad Planta y Equipo</t>
        </is>
      </c>
      <c r="C5" s="2" t="inlineStr">
        <is>
          <t>Deudora</t>
        </is>
      </c>
      <c r="D5" s="2" t="inlineStr">
        <is>
          <t>Activo</t>
        </is>
      </c>
      <c r="E5" s="2" t="inlineStr">
        <is>
          <t>No corriente</t>
        </is>
      </c>
      <c r="F5" s="2" t="inlineStr">
        <is>
          <t>PP&amp;E</t>
        </is>
      </c>
      <c r="G5" s="2" t="inlineStr">
        <is>
          <t>Balance</t>
        </is>
      </c>
      <c r="H5" s="2" t="n">
        <v>40</v>
      </c>
    </row>
    <row r="6">
      <c r="A6" s="2" t="inlineStr">
        <is>
          <t>2101</t>
        </is>
      </c>
      <c r="B6" s="2" t="inlineStr">
        <is>
          <t>Cuentas por Pagar Proveedores</t>
        </is>
      </c>
      <c r="C6" s="2" t="inlineStr">
        <is>
          <t>Acreedora</t>
        </is>
      </c>
      <c r="D6" s="2" t="inlineStr">
        <is>
          <t>Pasivo</t>
        </is>
      </c>
      <c r="E6" s="2" t="inlineStr">
        <is>
          <t>Corriente</t>
        </is>
      </c>
      <c r="F6" s="2" t="inlineStr">
        <is>
          <t>CxP</t>
        </is>
      </c>
      <c r="G6" s="2" t="inlineStr">
        <is>
          <t>Balance</t>
        </is>
      </c>
      <c r="H6" s="2" t="n">
        <v>110</v>
      </c>
    </row>
    <row r="7">
      <c r="A7" s="2" t="inlineStr">
        <is>
          <t>2201</t>
        </is>
      </c>
      <c r="B7" s="2" t="inlineStr">
        <is>
          <t>Remuneraciones por Pagar</t>
        </is>
      </c>
      <c r="C7" s="2" t="inlineStr">
        <is>
          <t>Acreedora</t>
        </is>
      </c>
      <c r="D7" s="2" t="inlineStr">
        <is>
          <t>Pasivo</t>
        </is>
      </c>
      <c r="E7" s="2" t="inlineStr">
        <is>
          <t>Corriente</t>
        </is>
      </c>
      <c r="F7" s="2" t="inlineStr">
        <is>
          <t>Sueldos por pagar</t>
        </is>
      </c>
      <c r="G7" s="2" t="inlineStr">
        <is>
          <t>Balance</t>
        </is>
      </c>
      <c r="H7" s="2" t="n">
        <v>120</v>
      </c>
    </row>
    <row r="8">
      <c r="A8" s="2" t="inlineStr">
        <is>
          <t>2301</t>
        </is>
      </c>
      <c r="B8" s="2" t="inlineStr">
        <is>
          <t>Impuestos por Pagar</t>
        </is>
      </c>
      <c r="C8" s="2" t="inlineStr">
        <is>
          <t>Acreedora</t>
        </is>
      </c>
      <c r="D8" s="2" t="inlineStr">
        <is>
          <t>Pasivo</t>
        </is>
      </c>
      <c r="E8" s="2" t="inlineStr">
        <is>
          <t>Corriente</t>
        </is>
      </c>
      <c r="F8" s="2" t="inlineStr">
        <is>
          <t>Impuestos por pagar</t>
        </is>
      </c>
      <c r="G8" s="2" t="inlineStr">
        <is>
          <t>Balance</t>
        </is>
      </c>
      <c r="H8" s="2" t="n">
        <v>130</v>
      </c>
    </row>
    <row r="9">
      <c r="A9" s="2" t="inlineStr">
        <is>
          <t>3101</t>
        </is>
      </c>
      <c r="B9" s="2" t="inlineStr">
        <is>
          <t>Capital</t>
        </is>
      </c>
      <c r="C9" s="2" t="inlineStr">
        <is>
          <t>Acreedora</t>
        </is>
      </c>
      <c r="D9" s="2" t="inlineStr">
        <is>
          <t>Patrimonio</t>
        </is>
      </c>
      <c r="E9" s="2" t="inlineStr">
        <is>
          <t>Patrimonio</t>
        </is>
      </c>
      <c r="F9" s="2" t="inlineStr">
        <is>
          <t>Capital</t>
        </is>
      </c>
      <c r="G9" s="2" t="inlineStr">
        <is>
          <t>Balance</t>
        </is>
      </c>
      <c r="H9" s="2" t="n">
        <v>210</v>
      </c>
    </row>
    <row r="10">
      <c r="A10" s="2" t="inlineStr">
        <is>
          <t>4101</t>
        </is>
      </c>
      <c r="B10" s="2" t="inlineStr">
        <is>
          <t>Ingresos por Ventas</t>
        </is>
      </c>
      <c r="C10" s="2" t="inlineStr">
        <is>
          <t>Acreedora</t>
        </is>
      </c>
      <c r="D10" s="2" t="inlineStr">
        <is>
          <t>Resultado</t>
        </is>
      </c>
      <c r="E10" s="2" t="inlineStr">
        <is>
          <t>Ingresos</t>
        </is>
      </c>
      <c r="F10" s="2" t="inlineStr">
        <is>
          <t>Ventas</t>
        </is>
      </c>
      <c r="G10" s="2" t="inlineStr">
        <is>
          <t>Resultados</t>
        </is>
      </c>
      <c r="H10" s="2" t="n">
        <v>310</v>
      </c>
    </row>
    <row r="11">
      <c r="A11" s="2" t="inlineStr">
        <is>
          <t>5101</t>
        </is>
      </c>
      <c r="B11" s="2" t="inlineStr">
        <is>
          <t>Costo de Ventas</t>
        </is>
      </c>
      <c r="C11" s="2" t="inlineStr">
        <is>
          <t>Deudora</t>
        </is>
      </c>
      <c r="D11" s="2" t="inlineStr">
        <is>
          <t>Resultado</t>
        </is>
      </c>
      <c r="E11" s="2" t="inlineStr">
        <is>
          <t>Costos</t>
        </is>
      </c>
      <c r="F11" s="2" t="inlineStr">
        <is>
          <t>COGS</t>
        </is>
      </c>
      <c r="G11" s="2" t="inlineStr">
        <is>
          <t>Resultados</t>
        </is>
      </c>
      <c r="H11" s="2" t="n">
        <v>410</v>
      </c>
    </row>
    <row r="12">
      <c r="A12" s="2" t="inlineStr">
        <is>
          <t>6101</t>
        </is>
      </c>
      <c r="B12" s="2" t="inlineStr">
        <is>
          <t>Sueldos y Salarios</t>
        </is>
      </c>
      <c r="C12" s="2" t="inlineStr">
        <is>
          <t>Deudora</t>
        </is>
      </c>
      <c r="D12" s="2" t="inlineStr">
        <is>
          <t>Resultado</t>
        </is>
      </c>
      <c r="E12" s="2" t="inlineStr">
        <is>
          <t>Opex</t>
        </is>
      </c>
      <c r="F12" s="2" t="inlineStr">
        <is>
          <t>Sueldos</t>
        </is>
      </c>
      <c r="G12" s="2" t="inlineStr">
        <is>
          <t>Resultados</t>
        </is>
      </c>
      <c r="H12" s="2" t="n">
        <v>510</v>
      </c>
    </row>
    <row r="13">
      <c r="A13" s="2" t="inlineStr">
        <is>
          <t>6201</t>
        </is>
      </c>
      <c r="B13" s="2" t="inlineStr">
        <is>
          <t>Arriendos</t>
        </is>
      </c>
      <c r="C13" s="2" t="inlineStr">
        <is>
          <t>Deudora</t>
        </is>
      </c>
      <c r="D13" s="2" t="inlineStr">
        <is>
          <t>Resultado</t>
        </is>
      </c>
      <c r="E13" s="2" t="inlineStr">
        <is>
          <t>Opex</t>
        </is>
      </c>
      <c r="F13" s="2" t="inlineStr">
        <is>
          <t>Arriendos</t>
        </is>
      </c>
      <c r="G13" s="2" t="inlineStr">
        <is>
          <t>Resultados</t>
        </is>
      </c>
      <c r="H13" s="2" t="n">
        <v>520</v>
      </c>
    </row>
    <row r="14">
      <c r="A14" s="2" t="inlineStr">
        <is>
          <t>6301</t>
        </is>
      </c>
      <c r="B14" s="2" t="inlineStr">
        <is>
          <t>Servicios Básicos</t>
        </is>
      </c>
      <c r="C14" s="2" t="inlineStr">
        <is>
          <t>Deudora</t>
        </is>
      </c>
      <c r="D14" s="2" t="inlineStr">
        <is>
          <t>Resultado</t>
        </is>
      </c>
      <c r="E14" s="2" t="inlineStr">
        <is>
          <t>Opex</t>
        </is>
      </c>
      <c r="F14" s="2" t="inlineStr">
        <is>
          <t>Servicios</t>
        </is>
      </c>
      <c r="G14" s="2" t="inlineStr">
        <is>
          <t>Resultados</t>
        </is>
      </c>
      <c r="H14" s="2" t="n">
        <v>530</v>
      </c>
    </row>
    <row r="15">
      <c r="A15" s="2" t="inlineStr">
        <is>
          <t>6401</t>
        </is>
      </c>
      <c r="B15" s="2" t="inlineStr">
        <is>
          <t>Depreciación</t>
        </is>
      </c>
      <c r="C15" s="2" t="inlineStr">
        <is>
          <t>Deudora</t>
        </is>
      </c>
      <c r="D15" s="2" t="inlineStr">
        <is>
          <t>Resultado</t>
        </is>
      </c>
      <c r="E15" s="2" t="inlineStr">
        <is>
          <t>Opex</t>
        </is>
      </c>
      <c r="F15" s="2" t="inlineStr">
        <is>
          <t>Depreciación</t>
        </is>
      </c>
      <c r="G15" s="2" t="inlineStr">
        <is>
          <t>Resultados</t>
        </is>
      </c>
      <c r="H15" s="2" t="n">
        <v>540</v>
      </c>
    </row>
    <row r="16">
      <c r="A16" s="2" t="inlineStr">
        <is>
          <t>7101</t>
        </is>
      </c>
      <c r="B16" s="2" t="inlineStr">
        <is>
          <t>Gasto Financiero</t>
        </is>
      </c>
      <c r="C16" s="2" t="inlineStr">
        <is>
          <t>Deudora</t>
        </is>
      </c>
      <c r="D16" s="2" t="inlineStr">
        <is>
          <t>Resultado</t>
        </is>
      </c>
      <c r="E16" s="2" t="inlineStr">
        <is>
          <t>No operacional</t>
        </is>
      </c>
      <c r="F16" s="2" t="inlineStr">
        <is>
          <t>Intereses</t>
        </is>
      </c>
      <c r="G16" s="2" t="inlineStr">
        <is>
          <t>Resultados</t>
        </is>
      </c>
      <c r="H16" s="2" t="n">
        <v>610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7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28" customWidth="1" min="4" max="4"/>
    <col width="12" customWidth="1" min="5" max="5"/>
    <col width="18" customWidth="1" min="6" max="6"/>
    <col width="18" customWidth="1" min="7" max="7"/>
    <col width="14" customWidth="1" min="8" max="8"/>
    <col width="14" customWidth="1" min="9" max="9"/>
    <col width="12" customWidth="1" min="10" max="10"/>
    <col width="14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4" t="inlineStr">
        <is>
          <t>Fecha</t>
        </is>
      </c>
      <c r="B1" s="4" t="inlineStr">
        <is>
          <t>Periodo</t>
        </is>
      </c>
      <c r="C1" s="4" t="inlineStr">
        <is>
          <t>Asiento_ID</t>
        </is>
      </c>
      <c r="D1" s="4" t="inlineStr">
        <is>
          <t>Descripción</t>
        </is>
      </c>
      <c r="E1" s="4" t="inlineStr">
        <is>
          <t>Cuenta_ID</t>
        </is>
      </c>
      <c r="F1" s="4" t="inlineStr">
        <is>
          <t>Centro_Costo</t>
        </is>
      </c>
      <c r="G1" s="4" t="inlineStr">
        <is>
          <t>Tercero</t>
        </is>
      </c>
      <c r="H1" s="4" t="inlineStr">
        <is>
          <t>Debe</t>
        </is>
      </c>
      <c r="I1" s="4" t="inlineStr">
        <is>
          <t>Haber</t>
        </is>
      </c>
      <c r="J1" s="4" t="inlineStr">
        <is>
          <t>Referencia</t>
        </is>
      </c>
      <c r="K1" s="4" t="inlineStr">
        <is>
          <t>Neto</t>
        </is>
      </c>
      <c r="L1" s="4" t="inlineStr">
        <is>
          <t>Tipo_N1</t>
        </is>
      </c>
      <c r="M1" s="4" t="inlineStr">
        <is>
          <t>Tipo_N2</t>
        </is>
      </c>
      <c r="N1" s="4" t="inlineStr">
        <is>
          <t>Tipo_N3</t>
        </is>
      </c>
      <c r="O1" s="4" t="inlineStr">
        <is>
          <t>Nombre_Cuenta</t>
        </is>
      </c>
      <c r="P1" s="4" t="inlineStr">
        <is>
          <t>Naturaleza</t>
        </is>
      </c>
    </row>
    <row r="2">
      <c r="A2" s="5" t="inlineStr">
        <is>
          <t>2026-01-02</t>
        </is>
      </c>
      <c r="B2" s="2" t="inlineStr">
        <is>
          <t>2026-01</t>
        </is>
      </c>
      <c r="C2" s="2" t="inlineStr">
        <is>
          <t>A0001</t>
        </is>
      </c>
      <c r="D2" s="2" t="inlineStr">
        <is>
          <t>Aporte de capital</t>
        </is>
      </c>
      <c r="E2" s="2" t="inlineStr">
        <is>
          <t>1101</t>
        </is>
      </c>
      <c r="F2" s="2" t="inlineStr"/>
      <c r="G2" s="2" t="inlineStr"/>
      <c r="H2" s="6" t="n">
        <v>50000000</v>
      </c>
      <c r="I2" s="6" t="n">
        <v>0</v>
      </c>
      <c r="J2" s="2" t="inlineStr"/>
      <c r="K2" s="6">
        <f>H2-I2</f>
        <v/>
      </c>
      <c r="L2" s="2">
        <f>IFERROR(VLOOKUP(E2,Plan_Cuentas!$A:$H,4,FALSE),"")</f>
        <v/>
      </c>
      <c r="M2" s="2">
        <f>IFERROR(VLOOKUP(E2,Plan_Cuentas!$A:$H,5,FALSE),"")</f>
        <v/>
      </c>
      <c r="N2" s="2">
        <f>IFERROR(VLOOKUP(E2,Plan_Cuentas!$A:$H,6,FALSE),"")</f>
        <v/>
      </c>
      <c r="O2" s="2">
        <f>IFERROR(VLOOKUP(E2,Plan_Cuentas!$A:$H,2,FALSE),"")</f>
        <v/>
      </c>
      <c r="P2" s="2">
        <f>IFERROR(VLOOKUP(E2,Plan_Cuentas!$A:$H,3,FALSE),"")</f>
        <v/>
      </c>
    </row>
    <row r="3">
      <c r="A3" s="5" t="inlineStr">
        <is>
          <t>2026-01-02</t>
        </is>
      </c>
      <c r="B3" s="2" t="inlineStr">
        <is>
          <t>2026-01</t>
        </is>
      </c>
      <c r="C3" s="2" t="inlineStr">
        <is>
          <t>A0001</t>
        </is>
      </c>
      <c r="D3" s="2" t="inlineStr">
        <is>
          <t>Aporte de capital</t>
        </is>
      </c>
      <c r="E3" s="2" t="inlineStr">
        <is>
          <t>3101</t>
        </is>
      </c>
      <c r="F3" s="2" t="inlineStr"/>
      <c r="G3" s="2" t="inlineStr"/>
      <c r="H3" s="6" t="n">
        <v>0</v>
      </c>
      <c r="I3" s="6" t="n">
        <v>50000000</v>
      </c>
      <c r="J3" s="2" t="inlineStr"/>
      <c r="K3" s="6">
        <f>H3-I3</f>
        <v/>
      </c>
      <c r="L3" s="2">
        <f>IFERROR(VLOOKUP(E3,Plan_Cuentas!$A:$H,4,FALSE),"")</f>
        <v/>
      </c>
      <c r="M3" s="2">
        <f>IFERROR(VLOOKUP(E3,Plan_Cuentas!$A:$H,5,FALSE),"")</f>
        <v/>
      </c>
      <c r="N3" s="2">
        <f>IFERROR(VLOOKUP(E3,Plan_Cuentas!$A:$H,6,FALSE),"")</f>
        <v/>
      </c>
      <c r="O3" s="2">
        <f>IFERROR(VLOOKUP(E3,Plan_Cuentas!$A:$H,2,FALSE),"")</f>
        <v/>
      </c>
      <c r="P3" s="2">
        <f>IFERROR(VLOOKUP(E3,Plan_Cuentas!$A:$H,3,FALSE),"")</f>
        <v/>
      </c>
    </row>
    <row r="4">
      <c r="A4" s="5" t="inlineStr">
        <is>
          <t>2026-01-10</t>
        </is>
      </c>
      <c r="B4" s="2" t="inlineStr">
        <is>
          <t>2026-01</t>
        </is>
      </c>
      <c r="C4" s="2" t="inlineStr">
        <is>
          <t>A0002</t>
        </is>
      </c>
      <c r="D4" s="2" t="inlineStr">
        <is>
          <t>Venta al crédito</t>
        </is>
      </c>
      <c r="E4" s="2" t="inlineStr">
        <is>
          <t>1201</t>
        </is>
      </c>
      <c r="F4" s="2" t="inlineStr">
        <is>
          <t>Comercial</t>
        </is>
      </c>
      <c r="G4" s="2" t="inlineStr">
        <is>
          <t>Cliente A</t>
        </is>
      </c>
      <c r="H4" s="6" t="n">
        <v>18000000</v>
      </c>
      <c r="I4" s="6" t="n">
        <v>0</v>
      </c>
      <c r="J4" s="2" t="inlineStr">
        <is>
          <t>FV001</t>
        </is>
      </c>
      <c r="K4" s="6">
        <f>H4-I4</f>
        <v/>
      </c>
      <c r="L4" s="2">
        <f>IFERROR(VLOOKUP(E4,Plan_Cuentas!$A:$H,4,FALSE),"")</f>
        <v/>
      </c>
      <c r="M4" s="2">
        <f>IFERROR(VLOOKUP(E4,Plan_Cuentas!$A:$H,5,FALSE),"")</f>
        <v/>
      </c>
      <c r="N4" s="2">
        <f>IFERROR(VLOOKUP(E4,Plan_Cuentas!$A:$H,6,FALSE),"")</f>
        <v/>
      </c>
      <c r="O4" s="2">
        <f>IFERROR(VLOOKUP(E4,Plan_Cuentas!$A:$H,2,FALSE),"")</f>
        <v/>
      </c>
      <c r="P4" s="2">
        <f>IFERROR(VLOOKUP(E4,Plan_Cuentas!$A:$H,3,FALSE),"")</f>
        <v/>
      </c>
    </row>
    <row r="5">
      <c r="A5" s="5" t="inlineStr">
        <is>
          <t>2026-01-10</t>
        </is>
      </c>
      <c r="B5" s="2" t="inlineStr">
        <is>
          <t>2026-01</t>
        </is>
      </c>
      <c r="C5" s="2" t="inlineStr">
        <is>
          <t>A0002</t>
        </is>
      </c>
      <c r="D5" s="2" t="inlineStr">
        <is>
          <t>Venta al crédito</t>
        </is>
      </c>
      <c r="E5" s="2" t="inlineStr">
        <is>
          <t>4101</t>
        </is>
      </c>
      <c r="F5" s="2" t="inlineStr">
        <is>
          <t>Comercial</t>
        </is>
      </c>
      <c r="G5" s="2" t="inlineStr">
        <is>
          <t>Cliente A</t>
        </is>
      </c>
      <c r="H5" s="6" t="n">
        <v>0</v>
      </c>
      <c r="I5" s="6" t="n">
        <v>18000000</v>
      </c>
      <c r="J5" s="2" t="inlineStr">
        <is>
          <t>FV001</t>
        </is>
      </c>
      <c r="K5" s="6">
        <f>H5-I5</f>
        <v/>
      </c>
      <c r="L5" s="2">
        <f>IFERROR(VLOOKUP(E5,Plan_Cuentas!$A:$H,4,FALSE),"")</f>
        <v/>
      </c>
      <c r="M5" s="2">
        <f>IFERROR(VLOOKUP(E5,Plan_Cuentas!$A:$H,5,FALSE),"")</f>
        <v/>
      </c>
      <c r="N5" s="2">
        <f>IFERROR(VLOOKUP(E5,Plan_Cuentas!$A:$H,6,FALSE),"")</f>
        <v/>
      </c>
      <c r="O5" s="2">
        <f>IFERROR(VLOOKUP(E5,Plan_Cuentas!$A:$H,2,FALSE),"")</f>
        <v/>
      </c>
      <c r="P5" s="2">
        <f>IFERROR(VLOOKUP(E5,Plan_Cuentas!$A:$H,3,FALSE),"")</f>
        <v/>
      </c>
    </row>
    <row r="6">
      <c r="A6" s="5" t="inlineStr">
        <is>
          <t>2026-01-15</t>
        </is>
      </c>
      <c r="B6" s="2" t="inlineStr">
        <is>
          <t>2026-01</t>
        </is>
      </c>
      <c r="C6" s="2" t="inlineStr">
        <is>
          <t>A0003</t>
        </is>
      </c>
      <c r="D6" s="2" t="inlineStr">
        <is>
          <t>Costo de ventas</t>
        </is>
      </c>
      <c r="E6" s="2" t="inlineStr">
        <is>
          <t>5101</t>
        </is>
      </c>
      <c r="F6" s="2" t="inlineStr">
        <is>
          <t>Operaciones</t>
        </is>
      </c>
      <c r="G6" s="2" t="inlineStr">
        <is>
          <t>Proveedor X</t>
        </is>
      </c>
      <c r="H6" s="6" t="n">
        <v>7000000</v>
      </c>
      <c r="I6" s="6" t="n">
        <v>0</v>
      </c>
      <c r="J6" s="2" t="inlineStr">
        <is>
          <t>OC001</t>
        </is>
      </c>
      <c r="K6" s="6">
        <f>H6-I6</f>
        <v/>
      </c>
      <c r="L6" s="2">
        <f>IFERROR(VLOOKUP(E6,Plan_Cuentas!$A:$H,4,FALSE),"")</f>
        <v/>
      </c>
      <c r="M6" s="2">
        <f>IFERROR(VLOOKUP(E6,Plan_Cuentas!$A:$H,5,FALSE),"")</f>
        <v/>
      </c>
      <c r="N6" s="2">
        <f>IFERROR(VLOOKUP(E6,Plan_Cuentas!$A:$H,6,FALSE),"")</f>
        <v/>
      </c>
      <c r="O6" s="2">
        <f>IFERROR(VLOOKUP(E6,Plan_Cuentas!$A:$H,2,FALSE),"")</f>
        <v/>
      </c>
      <c r="P6" s="2">
        <f>IFERROR(VLOOKUP(E6,Plan_Cuentas!$A:$H,3,FALSE),"")</f>
        <v/>
      </c>
    </row>
    <row r="7">
      <c r="A7" s="5" t="inlineStr">
        <is>
          <t>2026-01-15</t>
        </is>
      </c>
      <c r="B7" s="2" t="inlineStr">
        <is>
          <t>2026-01</t>
        </is>
      </c>
      <c r="C7" s="2" t="inlineStr">
        <is>
          <t>A0003</t>
        </is>
      </c>
      <c r="D7" s="2" t="inlineStr">
        <is>
          <t>Costo de ventas</t>
        </is>
      </c>
      <c r="E7" s="2" t="inlineStr">
        <is>
          <t>2101</t>
        </is>
      </c>
      <c r="F7" s="2" t="inlineStr">
        <is>
          <t>Operaciones</t>
        </is>
      </c>
      <c r="G7" s="2" t="inlineStr">
        <is>
          <t>Proveedor X</t>
        </is>
      </c>
      <c r="H7" s="6" t="n">
        <v>0</v>
      </c>
      <c r="I7" s="6" t="n">
        <v>7000000</v>
      </c>
      <c r="J7" s="2" t="inlineStr">
        <is>
          <t>OC001</t>
        </is>
      </c>
      <c r="K7" s="6">
        <f>H7-I7</f>
        <v/>
      </c>
      <c r="L7" s="2">
        <f>IFERROR(VLOOKUP(E7,Plan_Cuentas!$A:$H,4,FALSE),"")</f>
        <v/>
      </c>
      <c r="M7" s="2">
        <f>IFERROR(VLOOKUP(E7,Plan_Cuentas!$A:$H,5,FALSE),"")</f>
        <v/>
      </c>
      <c r="N7" s="2">
        <f>IFERROR(VLOOKUP(E7,Plan_Cuentas!$A:$H,6,FALSE),"")</f>
        <v/>
      </c>
      <c r="O7" s="2">
        <f>IFERROR(VLOOKUP(E7,Plan_Cuentas!$A:$H,2,FALSE),"")</f>
        <v/>
      </c>
      <c r="P7" s="2">
        <f>IFERROR(VLOOKUP(E7,Plan_Cuentas!$A:$H,3,FALSE),"")</f>
        <v/>
      </c>
    </row>
    <row r="8">
      <c r="A8" s="5" t="inlineStr">
        <is>
          <t>2026-01-31</t>
        </is>
      </c>
      <c r="B8" s="2" t="inlineStr">
        <is>
          <t>2026-01</t>
        </is>
      </c>
      <c r="C8" s="2" t="inlineStr">
        <is>
          <t>A0004</t>
        </is>
      </c>
      <c r="D8" s="2" t="inlineStr">
        <is>
          <t>Devengo sueldos</t>
        </is>
      </c>
      <c r="E8" s="2" t="inlineStr">
        <is>
          <t>6101</t>
        </is>
      </c>
      <c r="F8" s="2" t="inlineStr">
        <is>
          <t>Administración</t>
        </is>
      </c>
      <c r="G8" s="2" t="inlineStr">
        <is>
          <t>Personal</t>
        </is>
      </c>
      <c r="H8" s="6" t="n">
        <v>4500000</v>
      </c>
      <c r="I8" s="6" t="n">
        <v>0</v>
      </c>
      <c r="J8" s="2" t="inlineStr">
        <is>
          <t>PAY01</t>
        </is>
      </c>
      <c r="K8" s="6">
        <f>H8-I8</f>
        <v/>
      </c>
      <c r="L8" s="2">
        <f>IFERROR(VLOOKUP(E8,Plan_Cuentas!$A:$H,4,FALSE),"")</f>
        <v/>
      </c>
      <c r="M8" s="2">
        <f>IFERROR(VLOOKUP(E8,Plan_Cuentas!$A:$H,5,FALSE),"")</f>
        <v/>
      </c>
      <c r="N8" s="2">
        <f>IFERROR(VLOOKUP(E8,Plan_Cuentas!$A:$H,6,FALSE),"")</f>
        <v/>
      </c>
      <c r="O8" s="2">
        <f>IFERROR(VLOOKUP(E8,Plan_Cuentas!$A:$H,2,FALSE),"")</f>
        <v/>
      </c>
      <c r="P8" s="2">
        <f>IFERROR(VLOOKUP(E8,Plan_Cuentas!$A:$H,3,FALSE),"")</f>
        <v/>
      </c>
    </row>
    <row r="9">
      <c r="A9" s="5" t="inlineStr">
        <is>
          <t>2026-01-31</t>
        </is>
      </c>
      <c r="B9" s="2" t="inlineStr">
        <is>
          <t>2026-01</t>
        </is>
      </c>
      <c r="C9" s="2" t="inlineStr">
        <is>
          <t>A0004</t>
        </is>
      </c>
      <c r="D9" s="2" t="inlineStr">
        <is>
          <t>Devengo sueldos</t>
        </is>
      </c>
      <c r="E9" s="2" t="inlineStr">
        <is>
          <t>2201</t>
        </is>
      </c>
      <c r="F9" s="2" t="inlineStr">
        <is>
          <t>Administración</t>
        </is>
      </c>
      <c r="G9" s="2" t="inlineStr">
        <is>
          <t>Personal</t>
        </is>
      </c>
      <c r="H9" s="6" t="n">
        <v>0</v>
      </c>
      <c r="I9" s="6" t="n">
        <v>4500000</v>
      </c>
      <c r="J9" s="2" t="inlineStr">
        <is>
          <t>PAY01</t>
        </is>
      </c>
      <c r="K9" s="6">
        <f>H9-I9</f>
        <v/>
      </c>
      <c r="L9" s="2">
        <f>IFERROR(VLOOKUP(E9,Plan_Cuentas!$A:$H,4,FALSE),"")</f>
        <v/>
      </c>
      <c r="M9" s="2">
        <f>IFERROR(VLOOKUP(E9,Plan_Cuentas!$A:$H,5,FALSE),"")</f>
        <v/>
      </c>
      <c r="N9" s="2">
        <f>IFERROR(VLOOKUP(E9,Plan_Cuentas!$A:$H,6,FALSE),"")</f>
        <v/>
      </c>
      <c r="O9" s="2">
        <f>IFERROR(VLOOKUP(E9,Plan_Cuentas!$A:$H,2,FALSE),"")</f>
        <v/>
      </c>
      <c r="P9" s="2">
        <f>IFERROR(VLOOKUP(E9,Plan_Cuentas!$A:$H,3,FALSE),"")</f>
        <v/>
      </c>
    </row>
    <row r="10">
      <c r="A10" s="5" t="inlineStr">
        <is>
          <t>2026-01-28</t>
        </is>
      </c>
      <c r="B10" s="2" t="inlineStr">
        <is>
          <t>2026-01</t>
        </is>
      </c>
      <c r="C10" s="2" t="inlineStr">
        <is>
          <t>A0005</t>
        </is>
      </c>
      <c r="D10" s="2" t="inlineStr">
        <is>
          <t>Cobranza clientes</t>
        </is>
      </c>
      <c r="E10" s="2" t="inlineStr">
        <is>
          <t>1101</t>
        </is>
      </c>
      <c r="F10" s="2" t="inlineStr">
        <is>
          <t>Tesorería</t>
        </is>
      </c>
      <c r="G10" s="2" t="inlineStr">
        <is>
          <t>Cliente A</t>
        </is>
      </c>
      <c r="H10" s="6" t="n">
        <v>8000000</v>
      </c>
      <c r="I10" s="6" t="n">
        <v>0</v>
      </c>
      <c r="J10" s="2" t="inlineStr">
        <is>
          <t>RC001</t>
        </is>
      </c>
      <c r="K10" s="6">
        <f>H10-I10</f>
        <v/>
      </c>
      <c r="L10" s="2">
        <f>IFERROR(VLOOKUP(E10,Plan_Cuentas!$A:$H,4,FALSE),"")</f>
        <v/>
      </c>
      <c r="M10" s="2">
        <f>IFERROR(VLOOKUP(E10,Plan_Cuentas!$A:$H,5,FALSE),"")</f>
        <v/>
      </c>
      <c r="N10" s="2">
        <f>IFERROR(VLOOKUP(E10,Plan_Cuentas!$A:$H,6,FALSE),"")</f>
        <v/>
      </c>
      <c r="O10" s="2">
        <f>IFERROR(VLOOKUP(E10,Plan_Cuentas!$A:$H,2,FALSE),"")</f>
        <v/>
      </c>
      <c r="P10" s="2">
        <f>IFERROR(VLOOKUP(E10,Plan_Cuentas!$A:$H,3,FALSE),"")</f>
        <v/>
      </c>
    </row>
    <row r="11">
      <c r="A11" s="5" t="inlineStr">
        <is>
          <t>2026-01-28</t>
        </is>
      </c>
      <c r="B11" s="2" t="inlineStr">
        <is>
          <t>2026-01</t>
        </is>
      </c>
      <c r="C11" s="2" t="inlineStr">
        <is>
          <t>A0005</t>
        </is>
      </c>
      <c r="D11" s="2" t="inlineStr">
        <is>
          <t>Cobranza clientes</t>
        </is>
      </c>
      <c r="E11" s="2" t="inlineStr">
        <is>
          <t>1201</t>
        </is>
      </c>
      <c r="F11" s="2" t="inlineStr">
        <is>
          <t>Tesorería</t>
        </is>
      </c>
      <c r="G11" s="2" t="inlineStr">
        <is>
          <t>Cliente A</t>
        </is>
      </c>
      <c r="H11" s="6" t="n">
        <v>0</v>
      </c>
      <c r="I11" s="6" t="n">
        <v>8000000</v>
      </c>
      <c r="J11" s="2" t="inlineStr">
        <is>
          <t>RC001</t>
        </is>
      </c>
      <c r="K11" s="6">
        <f>H11-I11</f>
        <v/>
      </c>
      <c r="L11" s="2">
        <f>IFERROR(VLOOKUP(E11,Plan_Cuentas!$A:$H,4,FALSE),"")</f>
        <v/>
      </c>
      <c r="M11" s="2">
        <f>IFERROR(VLOOKUP(E11,Plan_Cuentas!$A:$H,5,FALSE),"")</f>
        <v/>
      </c>
      <c r="N11" s="2">
        <f>IFERROR(VLOOKUP(E11,Plan_Cuentas!$A:$H,6,FALSE),"")</f>
        <v/>
      </c>
      <c r="O11" s="2">
        <f>IFERROR(VLOOKUP(E11,Plan_Cuentas!$A:$H,2,FALSE),"")</f>
        <v/>
      </c>
      <c r="P11" s="2">
        <f>IFERROR(VLOOKUP(E11,Plan_Cuentas!$A:$H,3,FALSE),"")</f>
        <v/>
      </c>
    </row>
    <row r="12">
      <c r="A12" s="5" t="inlineStr">
        <is>
          <t>2026-01-29</t>
        </is>
      </c>
      <c r="B12" s="2" t="inlineStr">
        <is>
          <t>2026-01</t>
        </is>
      </c>
      <c r="C12" s="2" t="inlineStr">
        <is>
          <t>A0006</t>
        </is>
      </c>
      <c r="D12" s="2" t="inlineStr">
        <is>
          <t>Pago proveedor</t>
        </is>
      </c>
      <c r="E12" s="2" t="inlineStr">
        <is>
          <t>2101</t>
        </is>
      </c>
      <c r="F12" s="2" t="inlineStr">
        <is>
          <t>Tesorería</t>
        </is>
      </c>
      <c r="G12" s="2" t="inlineStr">
        <is>
          <t>Proveedor X</t>
        </is>
      </c>
      <c r="H12" s="6" t="n">
        <v>3000000</v>
      </c>
      <c r="I12" s="6" t="n">
        <v>0</v>
      </c>
      <c r="J12" s="2" t="inlineStr">
        <is>
          <t>EP001</t>
        </is>
      </c>
      <c r="K12" s="6">
        <f>H12-I12</f>
        <v/>
      </c>
      <c r="L12" s="2">
        <f>IFERROR(VLOOKUP(E12,Plan_Cuentas!$A:$H,4,FALSE),"")</f>
        <v/>
      </c>
      <c r="M12" s="2">
        <f>IFERROR(VLOOKUP(E12,Plan_Cuentas!$A:$H,5,FALSE),"")</f>
        <v/>
      </c>
      <c r="N12" s="2">
        <f>IFERROR(VLOOKUP(E12,Plan_Cuentas!$A:$H,6,FALSE),"")</f>
        <v/>
      </c>
      <c r="O12" s="2">
        <f>IFERROR(VLOOKUP(E12,Plan_Cuentas!$A:$H,2,FALSE),"")</f>
        <v/>
      </c>
      <c r="P12" s="2">
        <f>IFERROR(VLOOKUP(E12,Plan_Cuentas!$A:$H,3,FALSE),"")</f>
        <v/>
      </c>
    </row>
    <row r="13">
      <c r="A13" s="5" t="inlineStr">
        <is>
          <t>2026-01-29</t>
        </is>
      </c>
      <c r="B13" s="2" t="inlineStr">
        <is>
          <t>2026-01</t>
        </is>
      </c>
      <c r="C13" s="2" t="inlineStr">
        <is>
          <t>A0006</t>
        </is>
      </c>
      <c r="D13" s="2" t="inlineStr">
        <is>
          <t>Pago proveedor</t>
        </is>
      </c>
      <c r="E13" s="2" t="inlineStr">
        <is>
          <t>1101</t>
        </is>
      </c>
      <c r="F13" s="2" t="inlineStr">
        <is>
          <t>Tesorería</t>
        </is>
      </c>
      <c r="G13" s="2" t="inlineStr">
        <is>
          <t>Proveedor X</t>
        </is>
      </c>
      <c r="H13" s="6" t="n">
        <v>0</v>
      </c>
      <c r="I13" s="6" t="n">
        <v>3000000</v>
      </c>
      <c r="J13" s="2" t="inlineStr">
        <is>
          <t>EP001</t>
        </is>
      </c>
      <c r="K13" s="6">
        <f>H13-I13</f>
        <v/>
      </c>
      <c r="L13" s="2">
        <f>IFERROR(VLOOKUP(E13,Plan_Cuentas!$A:$H,4,FALSE),"")</f>
        <v/>
      </c>
      <c r="M13" s="2">
        <f>IFERROR(VLOOKUP(E13,Plan_Cuentas!$A:$H,5,FALSE),"")</f>
        <v/>
      </c>
      <c r="N13" s="2">
        <f>IFERROR(VLOOKUP(E13,Plan_Cuentas!$A:$H,6,FALSE),"")</f>
        <v/>
      </c>
      <c r="O13" s="2">
        <f>IFERROR(VLOOKUP(E13,Plan_Cuentas!$A:$H,2,FALSE),"")</f>
        <v/>
      </c>
      <c r="P13" s="2">
        <f>IFERROR(VLOOKUP(E13,Plan_Cuentas!$A:$H,3,FALSE),"")</f>
        <v/>
      </c>
    </row>
    <row r="14">
      <c r="A14" s="5" t="inlineStr">
        <is>
          <t>2026-02-10</t>
        </is>
      </c>
      <c r="B14" s="2" t="inlineStr">
        <is>
          <t>2026-02</t>
        </is>
      </c>
      <c r="C14" s="2" t="inlineStr">
        <is>
          <t>A0007</t>
        </is>
      </c>
      <c r="D14" s="2" t="inlineStr">
        <is>
          <t>Venta al crédito</t>
        </is>
      </c>
      <c r="E14" s="2" t="inlineStr">
        <is>
          <t>1201</t>
        </is>
      </c>
      <c r="F14" s="2" t="inlineStr">
        <is>
          <t>Comercial</t>
        </is>
      </c>
      <c r="G14" s="2" t="inlineStr">
        <is>
          <t>Cliente B</t>
        </is>
      </c>
      <c r="H14" s="6" t="n">
        <v>22000000</v>
      </c>
      <c r="I14" s="6" t="n">
        <v>0</v>
      </c>
      <c r="J14" s="2" t="inlineStr">
        <is>
          <t>FV002</t>
        </is>
      </c>
      <c r="K14" s="6">
        <f>H14-I14</f>
        <v/>
      </c>
      <c r="L14" s="2">
        <f>IFERROR(VLOOKUP(E14,Plan_Cuentas!$A:$H,4,FALSE),"")</f>
        <v/>
      </c>
      <c r="M14" s="2">
        <f>IFERROR(VLOOKUP(E14,Plan_Cuentas!$A:$H,5,FALSE),"")</f>
        <v/>
      </c>
      <c r="N14" s="2">
        <f>IFERROR(VLOOKUP(E14,Plan_Cuentas!$A:$H,6,FALSE),"")</f>
        <v/>
      </c>
      <c r="O14" s="2">
        <f>IFERROR(VLOOKUP(E14,Plan_Cuentas!$A:$H,2,FALSE),"")</f>
        <v/>
      </c>
      <c r="P14" s="2">
        <f>IFERROR(VLOOKUP(E14,Plan_Cuentas!$A:$H,3,FALSE),"")</f>
        <v/>
      </c>
    </row>
    <row r="15">
      <c r="A15" s="5" t="inlineStr">
        <is>
          <t>2026-02-10</t>
        </is>
      </c>
      <c r="B15" s="2" t="inlineStr">
        <is>
          <t>2026-02</t>
        </is>
      </c>
      <c r="C15" s="2" t="inlineStr">
        <is>
          <t>A0007</t>
        </is>
      </c>
      <c r="D15" s="2" t="inlineStr">
        <is>
          <t>Venta al crédito</t>
        </is>
      </c>
      <c r="E15" s="2" t="inlineStr">
        <is>
          <t>4101</t>
        </is>
      </c>
      <c r="F15" s="2" t="inlineStr">
        <is>
          <t>Comercial</t>
        </is>
      </c>
      <c r="G15" s="2" t="inlineStr">
        <is>
          <t>Cliente B</t>
        </is>
      </c>
      <c r="H15" s="6" t="n">
        <v>0</v>
      </c>
      <c r="I15" s="6" t="n">
        <v>22000000</v>
      </c>
      <c r="J15" s="2" t="inlineStr">
        <is>
          <t>FV002</t>
        </is>
      </c>
      <c r="K15" s="6">
        <f>H15-I15</f>
        <v/>
      </c>
      <c r="L15" s="2">
        <f>IFERROR(VLOOKUP(E15,Plan_Cuentas!$A:$H,4,FALSE),"")</f>
        <v/>
      </c>
      <c r="M15" s="2">
        <f>IFERROR(VLOOKUP(E15,Plan_Cuentas!$A:$H,5,FALSE),"")</f>
        <v/>
      </c>
      <c r="N15" s="2">
        <f>IFERROR(VLOOKUP(E15,Plan_Cuentas!$A:$H,6,FALSE),"")</f>
        <v/>
      </c>
      <c r="O15" s="2">
        <f>IFERROR(VLOOKUP(E15,Plan_Cuentas!$A:$H,2,FALSE),"")</f>
        <v/>
      </c>
      <c r="P15" s="2">
        <f>IFERROR(VLOOKUP(E15,Plan_Cuentas!$A:$H,3,FALSE),"")</f>
        <v/>
      </c>
    </row>
    <row r="16">
      <c r="A16" s="5" t="inlineStr">
        <is>
          <t>2026-02-28</t>
        </is>
      </c>
      <c r="B16" s="2" t="inlineStr">
        <is>
          <t>2026-02</t>
        </is>
      </c>
      <c r="C16" s="2" t="inlineStr">
        <is>
          <t>A0008</t>
        </is>
      </c>
      <c r="D16" s="2" t="inlineStr">
        <is>
          <t>Devengo sueldos</t>
        </is>
      </c>
      <c r="E16" s="2" t="inlineStr">
        <is>
          <t>6101</t>
        </is>
      </c>
      <c r="F16" s="2" t="inlineStr">
        <is>
          <t>Administración</t>
        </is>
      </c>
      <c r="G16" s="2" t="inlineStr">
        <is>
          <t>Personal</t>
        </is>
      </c>
      <c r="H16" s="6" t="n">
        <v>4600000</v>
      </c>
      <c r="I16" s="6" t="n">
        <v>0</v>
      </c>
      <c r="J16" s="2" t="inlineStr">
        <is>
          <t>PAY02</t>
        </is>
      </c>
      <c r="K16" s="6">
        <f>H16-I16</f>
        <v/>
      </c>
      <c r="L16" s="2">
        <f>IFERROR(VLOOKUP(E16,Plan_Cuentas!$A:$H,4,FALSE),"")</f>
        <v/>
      </c>
      <c r="M16" s="2">
        <f>IFERROR(VLOOKUP(E16,Plan_Cuentas!$A:$H,5,FALSE),"")</f>
        <v/>
      </c>
      <c r="N16" s="2">
        <f>IFERROR(VLOOKUP(E16,Plan_Cuentas!$A:$H,6,FALSE),"")</f>
        <v/>
      </c>
      <c r="O16" s="2">
        <f>IFERROR(VLOOKUP(E16,Plan_Cuentas!$A:$H,2,FALSE),"")</f>
        <v/>
      </c>
      <c r="P16" s="2">
        <f>IFERROR(VLOOKUP(E16,Plan_Cuentas!$A:$H,3,FALSE),"")</f>
        <v/>
      </c>
    </row>
    <row r="17">
      <c r="A17" s="5" t="inlineStr">
        <is>
          <t>2026-02-28</t>
        </is>
      </c>
      <c r="B17" s="2" t="inlineStr">
        <is>
          <t>2026-02</t>
        </is>
      </c>
      <c r="C17" s="2" t="inlineStr">
        <is>
          <t>A0008</t>
        </is>
      </c>
      <c r="D17" s="2" t="inlineStr">
        <is>
          <t>Devengo sueldos</t>
        </is>
      </c>
      <c r="E17" s="2" t="inlineStr">
        <is>
          <t>2201</t>
        </is>
      </c>
      <c r="F17" s="2" t="inlineStr">
        <is>
          <t>Administración</t>
        </is>
      </c>
      <c r="G17" s="2" t="inlineStr">
        <is>
          <t>Personal</t>
        </is>
      </c>
      <c r="H17" s="6" t="n">
        <v>0</v>
      </c>
      <c r="I17" s="6" t="n">
        <v>4600000</v>
      </c>
      <c r="J17" s="2" t="inlineStr">
        <is>
          <t>PAY02</t>
        </is>
      </c>
      <c r="K17" s="6">
        <f>H17-I17</f>
        <v/>
      </c>
      <c r="L17" s="2">
        <f>IFERROR(VLOOKUP(E17,Plan_Cuentas!$A:$H,4,FALSE),"")</f>
        <v/>
      </c>
      <c r="M17" s="2">
        <f>IFERROR(VLOOKUP(E17,Plan_Cuentas!$A:$H,5,FALSE),"")</f>
        <v/>
      </c>
      <c r="N17" s="2">
        <f>IFERROR(VLOOKUP(E17,Plan_Cuentas!$A:$H,6,FALSE),"")</f>
        <v/>
      </c>
      <c r="O17" s="2">
        <f>IFERROR(VLOOKUP(E17,Plan_Cuentas!$A:$H,2,FALSE),"")</f>
        <v/>
      </c>
      <c r="P17" s="2">
        <f>IFERROR(VLOOKUP(E17,Plan_Cuentas!$A:$H,3,FALSE),"")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0" customWidth="1" min="3" max="3"/>
    <col width="14" customWidth="1" min="4" max="4"/>
    <col width="16" customWidth="1" min="5" max="5"/>
    <col width="18" customWidth="1" min="6" max="6"/>
    <col width="24" customWidth="1" min="7" max="7"/>
    <col width="10" customWidth="1" min="8" max="8"/>
  </cols>
  <sheetData>
    <row r="1">
      <c r="A1" s="4" t="inlineStr">
        <is>
          <t>Line_Item</t>
        </is>
      </c>
      <c r="B1" s="4" t="inlineStr">
        <is>
          <t>Estado</t>
        </is>
      </c>
      <c r="C1" s="4" t="inlineStr">
        <is>
          <t>Signo</t>
        </is>
      </c>
      <c r="D1" s="4" t="inlineStr">
        <is>
          <t>Filtro_Tipo_N1</t>
        </is>
      </c>
      <c r="E1" s="4" t="inlineStr">
        <is>
          <t>Filtro_Tipo_N2</t>
        </is>
      </c>
      <c r="F1" s="4" t="inlineStr">
        <is>
          <t>Filtro_Tipo_N3</t>
        </is>
      </c>
      <c r="G1" s="4" t="inlineStr">
        <is>
          <t>Cuenta_ID_específica (opcional)</t>
        </is>
      </c>
      <c r="H1" s="4" t="inlineStr">
        <is>
          <t>Orden</t>
        </is>
      </c>
    </row>
    <row r="2">
      <c r="A2" s="2" t="inlineStr">
        <is>
          <t>Caja y Bancos</t>
        </is>
      </c>
      <c r="B2" s="2" t="inlineStr">
        <is>
          <t>Balance</t>
        </is>
      </c>
      <c r="C2" s="2" t="n">
        <v>1</v>
      </c>
      <c r="D2" s="2" t="inlineStr">
        <is>
          <t>Activo</t>
        </is>
      </c>
      <c r="E2" s="2" t="inlineStr"/>
      <c r="F2" s="2" t="inlineStr">
        <is>
          <t>Caja</t>
        </is>
      </c>
      <c r="G2" s="2" t="inlineStr"/>
      <c r="H2" s="2" t="n">
        <v>10</v>
      </c>
    </row>
    <row r="3">
      <c r="A3" s="2" t="inlineStr">
        <is>
          <t>Cuentas por Cobrar</t>
        </is>
      </c>
      <c r="B3" s="2" t="inlineStr">
        <is>
          <t>Balance</t>
        </is>
      </c>
      <c r="C3" s="2" t="n">
        <v>1</v>
      </c>
      <c r="D3" s="2" t="inlineStr">
        <is>
          <t>Activo</t>
        </is>
      </c>
      <c r="E3" s="2" t="inlineStr"/>
      <c r="F3" s="2" t="inlineStr">
        <is>
          <t>CxC</t>
        </is>
      </c>
      <c r="G3" s="2" t="inlineStr"/>
      <c r="H3" s="2" t="n">
        <v>20</v>
      </c>
    </row>
    <row r="4">
      <c r="A4" s="2" t="inlineStr">
        <is>
          <t>Inventarios</t>
        </is>
      </c>
      <c r="B4" s="2" t="inlineStr">
        <is>
          <t>Balance</t>
        </is>
      </c>
      <c r="C4" s="2" t="n">
        <v>1</v>
      </c>
      <c r="D4" s="2" t="inlineStr">
        <is>
          <t>Activo</t>
        </is>
      </c>
      <c r="E4" s="2" t="inlineStr"/>
      <c r="F4" s="2" t="inlineStr">
        <is>
          <t>Inventario</t>
        </is>
      </c>
      <c r="G4" s="2" t="inlineStr"/>
      <c r="H4" s="2" t="n">
        <v>30</v>
      </c>
    </row>
    <row r="5">
      <c r="A5" s="2" t="inlineStr">
        <is>
          <t>PP&amp;E</t>
        </is>
      </c>
      <c r="B5" s="2" t="inlineStr">
        <is>
          <t>Balance</t>
        </is>
      </c>
      <c r="C5" s="2" t="n">
        <v>1</v>
      </c>
      <c r="D5" s="2" t="inlineStr">
        <is>
          <t>Activo</t>
        </is>
      </c>
      <c r="E5" s="2" t="inlineStr"/>
      <c r="F5" s="2" t="inlineStr">
        <is>
          <t>PP&amp;E</t>
        </is>
      </c>
      <c r="G5" s="2" t="inlineStr"/>
      <c r="H5" s="2" t="n">
        <v>40</v>
      </c>
    </row>
    <row r="6">
      <c r="A6" s="2" t="inlineStr">
        <is>
          <t>Cuentas por Pagar</t>
        </is>
      </c>
      <c r="B6" s="2" t="inlineStr">
        <is>
          <t>Balance</t>
        </is>
      </c>
      <c r="C6" s="2" t="n">
        <v>-1</v>
      </c>
      <c r="D6" s="2" t="inlineStr">
        <is>
          <t>Pasivo</t>
        </is>
      </c>
      <c r="E6" s="2" t="inlineStr"/>
      <c r="F6" s="2" t="inlineStr">
        <is>
          <t>CxP</t>
        </is>
      </c>
      <c r="G6" s="2" t="inlineStr"/>
      <c r="H6" s="2" t="n">
        <v>110</v>
      </c>
    </row>
    <row r="7">
      <c r="A7" s="2" t="inlineStr">
        <is>
          <t>Remuneraciones por Pagar</t>
        </is>
      </c>
      <c r="B7" s="2" t="inlineStr">
        <is>
          <t>Balance</t>
        </is>
      </c>
      <c r="C7" s="2" t="n">
        <v>-1</v>
      </c>
      <c r="D7" s="2" t="inlineStr">
        <is>
          <t>Pasivo</t>
        </is>
      </c>
      <c r="E7" s="2" t="inlineStr"/>
      <c r="F7" s="2" t="inlineStr">
        <is>
          <t>Sueldos por pagar</t>
        </is>
      </c>
      <c r="G7" s="2" t="inlineStr"/>
      <c r="H7" s="2" t="n">
        <v>120</v>
      </c>
    </row>
    <row r="8">
      <c r="A8" s="2" t="inlineStr">
        <is>
          <t>Impuestos por Pagar</t>
        </is>
      </c>
      <c r="B8" s="2" t="inlineStr">
        <is>
          <t>Balance</t>
        </is>
      </c>
      <c r="C8" s="2" t="n">
        <v>-1</v>
      </c>
      <c r="D8" s="2" t="inlineStr">
        <is>
          <t>Pasivo</t>
        </is>
      </c>
      <c r="E8" s="2" t="inlineStr"/>
      <c r="F8" s="2" t="inlineStr">
        <is>
          <t>Impuestos por pagar</t>
        </is>
      </c>
      <c r="G8" s="2" t="inlineStr"/>
      <c r="H8" s="2" t="n">
        <v>130</v>
      </c>
    </row>
    <row r="9">
      <c r="A9" s="2" t="inlineStr">
        <is>
          <t>Capital</t>
        </is>
      </c>
      <c r="B9" s="2" t="inlineStr">
        <is>
          <t>Balance</t>
        </is>
      </c>
      <c r="C9" s="2" t="n">
        <v>-1</v>
      </c>
      <c r="D9" s="2" t="inlineStr">
        <is>
          <t>Patrimonio</t>
        </is>
      </c>
      <c r="E9" s="2" t="inlineStr"/>
      <c r="F9" s="2" t="inlineStr">
        <is>
          <t>Capital</t>
        </is>
      </c>
      <c r="G9" s="2" t="inlineStr"/>
      <c r="H9" s="2" t="n">
        <v>210</v>
      </c>
    </row>
    <row r="10">
      <c r="A10" s="2" t="inlineStr">
        <is>
          <t>Ventas</t>
        </is>
      </c>
      <c r="B10" s="2" t="inlineStr">
        <is>
          <t>Resultados</t>
        </is>
      </c>
      <c r="C10" s="2" t="n">
        <v>-1</v>
      </c>
      <c r="D10" s="2" t="inlineStr">
        <is>
          <t>Resultado</t>
        </is>
      </c>
      <c r="E10" s="2" t="inlineStr">
        <is>
          <t>Ingresos</t>
        </is>
      </c>
      <c r="F10" s="2" t="inlineStr"/>
      <c r="G10" s="2" t="inlineStr"/>
      <c r="H10" s="2" t="n">
        <v>310</v>
      </c>
    </row>
    <row r="11">
      <c r="A11" s="2" t="inlineStr">
        <is>
          <t>Costo de Ventas</t>
        </is>
      </c>
      <c r="B11" s="2" t="inlineStr">
        <is>
          <t>Resultados</t>
        </is>
      </c>
      <c r="C11" s="2" t="n">
        <v>1</v>
      </c>
      <c r="D11" s="2" t="inlineStr">
        <is>
          <t>Resultado</t>
        </is>
      </c>
      <c r="E11" s="2" t="inlineStr">
        <is>
          <t>Costos</t>
        </is>
      </c>
      <c r="F11" s="2" t="inlineStr"/>
      <c r="G11" s="2" t="inlineStr"/>
      <c r="H11" s="2" t="n">
        <v>410</v>
      </c>
    </row>
    <row r="12">
      <c r="A12" s="2" t="inlineStr">
        <is>
          <t>Sueldos</t>
        </is>
      </c>
      <c r="B12" s="2" t="inlineStr">
        <is>
          <t>Resultados</t>
        </is>
      </c>
      <c r="C12" s="2" t="n">
        <v>1</v>
      </c>
      <c r="D12" s="2" t="inlineStr">
        <is>
          <t>Resultado</t>
        </is>
      </c>
      <c r="E12" s="2" t="inlineStr">
        <is>
          <t>Opex</t>
        </is>
      </c>
      <c r="F12" s="2" t="inlineStr">
        <is>
          <t>Sueldos</t>
        </is>
      </c>
      <c r="G12" s="2" t="inlineStr"/>
      <c r="H12" s="2" t="n">
        <v>510</v>
      </c>
    </row>
    <row r="13">
      <c r="A13" s="2" t="inlineStr">
        <is>
          <t>Arriendos</t>
        </is>
      </c>
      <c r="B13" s="2" t="inlineStr">
        <is>
          <t>Resultados</t>
        </is>
      </c>
      <c r="C13" s="2" t="n">
        <v>1</v>
      </c>
      <c r="D13" s="2" t="inlineStr">
        <is>
          <t>Resultado</t>
        </is>
      </c>
      <c r="E13" s="2" t="inlineStr">
        <is>
          <t>Opex</t>
        </is>
      </c>
      <c r="F13" s="2" t="inlineStr">
        <is>
          <t>Arriendos</t>
        </is>
      </c>
      <c r="G13" s="2" t="inlineStr"/>
      <c r="H13" s="2" t="n">
        <v>520</v>
      </c>
    </row>
    <row r="14">
      <c r="A14" s="2" t="inlineStr">
        <is>
          <t>Servicios</t>
        </is>
      </c>
      <c r="B14" s="2" t="inlineStr">
        <is>
          <t>Resultados</t>
        </is>
      </c>
      <c r="C14" s="2" t="n">
        <v>1</v>
      </c>
      <c r="D14" s="2" t="inlineStr">
        <is>
          <t>Resultado</t>
        </is>
      </c>
      <c r="E14" s="2" t="inlineStr">
        <is>
          <t>Opex</t>
        </is>
      </c>
      <c r="F14" s="2" t="inlineStr">
        <is>
          <t>Servicios</t>
        </is>
      </c>
      <c r="G14" s="2" t="inlineStr"/>
      <c r="H14" s="2" t="n">
        <v>530</v>
      </c>
    </row>
    <row r="15">
      <c r="A15" s="2" t="inlineStr">
        <is>
          <t>Depreciación</t>
        </is>
      </c>
      <c r="B15" s="2" t="inlineStr">
        <is>
          <t>Resultados</t>
        </is>
      </c>
      <c r="C15" s="2" t="n">
        <v>1</v>
      </c>
      <c r="D15" s="2" t="inlineStr">
        <is>
          <t>Resultado</t>
        </is>
      </c>
      <c r="E15" s="2" t="inlineStr">
        <is>
          <t>Opex</t>
        </is>
      </c>
      <c r="F15" s="2" t="inlineStr">
        <is>
          <t>Depreciación</t>
        </is>
      </c>
      <c r="G15" s="2" t="inlineStr"/>
      <c r="H15" s="2" t="n">
        <v>540</v>
      </c>
    </row>
    <row r="16">
      <c r="A16" s="2" t="inlineStr">
        <is>
          <t>Gasto Financiero</t>
        </is>
      </c>
      <c r="B16" s="2" t="inlineStr">
        <is>
          <t>Resultados</t>
        </is>
      </c>
      <c r="C16" s="2" t="n">
        <v>1</v>
      </c>
      <c r="D16" s="2" t="inlineStr">
        <is>
          <t>Resultado</t>
        </is>
      </c>
      <c r="E16" s="2" t="inlineStr">
        <is>
          <t>No operacional</t>
        </is>
      </c>
      <c r="F16" s="2" t="inlineStr"/>
      <c r="G16" s="2" t="inlineStr"/>
      <c r="H16" s="2" t="n">
        <v>610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9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Balance General (mensual) desde Libro Diario</t>
        </is>
      </c>
    </row>
    <row r="3">
      <c r="A3" s="2" t="n"/>
      <c r="B3" s="4" t="inlineStr">
        <is>
          <t>2026-01</t>
        </is>
      </c>
      <c r="C3" s="4" t="inlineStr">
        <is>
          <t>2026-02</t>
        </is>
      </c>
      <c r="D3" s="4" t="inlineStr">
        <is>
          <t>2026-03</t>
        </is>
      </c>
      <c r="E3" s="4" t="inlineStr">
        <is>
          <t>2026-04</t>
        </is>
      </c>
      <c r="F3" s="4" t="inlineStr">
        <is>
          <t>2026-05</t>
        </is>
      </c>
      <c r="G3" s="4" t="inlineStr">
        <is>
          <t>2026-06</t>
        </is>
      </c>
      <c r="H3" s="4" t="inlineStr">
        <is>
          <t>2026-07</t>
        </is>
      </c>
      <c r="I3" s="4" t="inlineStr">
        <is>
          <t>2026-08</t>
        </is>
      </c>
      <c r="J3" s="4" t="inlineStr">
        <is>
          <t>2026-09</t>
        </is>
      </c>
      <c r="K3" s="4" t="inlineStr">
        <is>
          <t>2026-10</t>
        </is>
      </c>
      <c r="L3" s="4" t="inlineStr">
        <is>
          <t>2026-11</t>
        </is>
      </c>
      <c r="M3" s="4" t="inlineStr">
        <is>
          <t>2026-12</t>
        </is>
      </c>
    </row>
    <row r="4">
      <c r="A4" s="2" t="inlineStr">
        <is>
          <t>Caja y Bancos</t>
        </is>
      </c>
      <c r="B4" s="6">
        <f>SUMIFS(Libro_Diario!$K:$K,Libro_Diario!$B:$B,"&lt;=2026-01",Libro_Diario!$N:$N,"Caja")*1</f>
        <v/>
      </c>
      <c r="C4" s="6">
        <f>SUMIFS(Libro_Diario!$K:$K,Libro_Diario!$B:$B,"&lt;=2026-02",Libro_Diario!$N:$N,"Caja")*1</f>
        <v/>
      </c>
      <c r="D4" s="6">
        <f>SUMIFS(Libro_Diario!$K:$K,Libro_Diario!$B:$B,"&lt;=2026-03",Libro_Diario!$N:$N,"Caja")*1</f>
        <v/>
      </c>
      <c r="E4" s="6">
        <f>SUMIFS(Libro_Diario!$K:$K,Libro_Diario!$B:$B,"&lt;=2026-04",Libro_Diario!$N:$N,"Caja")*1</f>
        <v/>
      </c>
      <c r="F4" s="6">
        <f>SUMIFS(Libro_Diario!$K:$K,Libro_Diario!$B:$B,"&lt;=2026-05",Libro_Diario!$N:$N,"Caja")*1</f>
        <v/>
      </c>
      <c r="G4" s="6">
        <f>SUMIFS(Libro_Diario!$K:$K,Libro_Diario!$B:$B,"&lt;=2026-06",Libro_Diario!$N:$N,"Caja")*1</f>
        <v/>
      </c>
      <c r="H4" s="6">
        <f>SUMIFS(Libro_Diario!$K:$K,Libro_Diario!$B:$B,"&lt;=2026-07",Libro_Diario!$N:$N,"Caja")*1</f>
        <v/>
      </c>
      <c r="I4" s="6">
        <f>SUMIFS(Libro_Diario!$K:$K,Libro_Diario!$B:$B,"&lt;=2026-08",Libro_Diario!$N:$N,"Caja")*1</f>
        <v/>
      </c>
      <c r="J4" s="6">
        <f>SUMIFS(Libro_Diario!$K:$K,Libro_Diario!$B:$B,"&lt;=2026-09",Libro_Diario!$N:$N,"Caja")*1</f>
        <v/>
      </c>
      <c r="K4" s="6">
        <f>SUMIFS(Libro_Diario!$K:$K,Libro_Diario!$B:$B,"&lt;=2026-10",Libro_Diario!$N:$N,"Caja")*1</f>
        <v/>
      </c>
      <c r="L4" s="6">
        <f>SUMIFS(Libro_Diario!$K:$K,Libro_Diario!$B:$B,"&lt;=2026-11",Libro_Diario!$N:$N,"Caja")*1</f>
        <v/>
      </c>
      <c r="M4" s="6">
        <f>SUMIFS(Libro_Diario!$K:$K,Libro_Diario!$B:$B,"&lt;=2026-12",Libro_Diario!$N:$N,"Caja")*1</f>
        <v/>
      </c>
    </row>
    <row r="5">
      <c r="A5" s="2" t="inlineStr">
        <is>
          <t>Cuentas por Cobrar</t>
        </is>
      </c>
      <c r="B5" s="6">
        <f>SUMIFS(Libro_Diario!$K:$K,Libro_Diario!$B:$B,"&lt;=2026-01",Libro_Diario!$N:$N,"CxC")*1</f>
        <v/>
      </c>
      <c r="C5" s="6">
        <f>SUMIFS(Libro_Diario!$K:$K,Libro_Diario!$B:$B,"&lt;=2026-02",Libro_Diario!$N:$N,"CxC")*1</f>
        <v/>
      </c>
      <c r="D5" s="6">
        <f>SUMIFS(Libro_Diario!$K:$K,Libro_Diario!$B:$B,"&lt;=2026-03",Libro_Diario!$N:$N,"CxC")*1</f>
        <v/>
      </c>
      <c r="E5" s="6">
        <f>SUMIFS(Libro_Diario!$K:$K,Libro_Diario!$B:$B,"&lt;=2026-04",Libro_Diario!$N:$N,"CxC")*1</f>
        <v/>
      </c>
      <c r="F5" s="6">
        <f>SUMIFS(Libro_Diario!$K:$K,Libro_Diario!$B:$B,"&lt;=2026-05",Libro_Diario!$N:$N,"CxC")*1</f>
        <v/>
      </c>
      <c r="G5" s="6">
        <f>SUMIFS(Libro_Diario!$K:$K,Libro_Diario!$B:$B,"&lt;=2026-06",Libro_Diario!$N:$N,"CxC")*1</f>
        <v/>
      </c>
      <c r="H5" s="6">
        <f>SUMIFS(Libro_Diario!$K:$K,Libro_Diario!$B:$B,"&lt;=2026-07",Libro_Diario!$N:$N,"CxC")*1</f>
        <v/>
      </c>
      <c r="I5" s="6">
        <f>SUMIFS(Libro_Diario!$K:$K,Libro_Diario!$B:$B,"&lt;=2026-08",Libro_Diario!$N:$N,"CxC")*1</f>
        <v/>
      </c>
      <c r="J5" s="6">
        <f>SUMIFS(Libro_Diario!$K:$K,Libro_Diario!$B:$B,"&lt;=2026-09",Libro_Diario!$N:$N,"CxC")*1</f>
        <v/>
      </c>
      <c r="K5" s="6">
        <f>SUMIFS(Libro_Diario!$K:$K,Libro_Diario!$B:$B,"&lt;=2026-10",Libro_Diario!$N:$N,"CxC")*1</f>
        <v/>
      </c>
      <c r="L5" s="6">
        <f>SUMIFS(Libro_Diario!$K:$K,Libro_Diario!$B:$B,"&lt;=2026-11",Libro_Diario!$N:$N,"CxC")*1</f>
        <v/>
      </c>
      <c r="M5" s="6">
        <f>SUMIFS(Libro_Diario!$K:$K,Libro_Diario!$B:$B,"&lt;=2026-12",Libro_Diario!$N:$N,"CxC")*1</f>
        <v/>
      </c>
    </row>
    <row r="6">
      <c r="A6" s="2" t="inlineStr">
        <is>
          <t>Inventarios</t>
        </is>
      </c>
      <c r="B6" s="6">
        <f>SUMIFS(Libro_Diario!$K:$K,Libro_Diario!$B:$B,"&lt;=2026-01",Libro_Diario!$N:$N,"Inventario")*1</f>
        <v/>
      </c>
      <c r="C6" s="6">
        <f>SUMIFS(Libro_Diario!$K:$K,Libro_Diario!$B:$B,"&lt;=2026-02",Libro_Diario!$N:$N,"Inventario")*1</f>
        <v/>
      </c>
      <c r="D6" s="6">
        <f>SUMIFS(Libro_Diario!$K:$K,Libro_Diario!$B:$B,"&lt;=2026-03",Libro_Diario!$N:$N,"Inventario")*1</f>
        <v/>
      </c>
      <c r="E6" s="6">
        <f>SUMIFS(Libro_Diario!$K:$K,Libro_Diario!$B:$B,"&lt;=2026-04",Libro_Diario!$N:$N,"Inventario")*1</f>
        <v/>
      </c>
      <c r="F6" s="6">
        <f>SUMIFS(Libro_Diario!$K:$K,Libro_Diario!$B:$B,"&lt;=2026-05",Libro_Diario!$N:$N,"Inventario")*1</f>
        <v/>
      </c>
      <c r="G6" s="6">
        <f>SUMIFS(Libro_Diario!$K:$K,Libro_Diario!$B:$B,"&lt;=2026-06",Libro_Diario!$N:$N,"Inventario")*1</f>
        <v/>
      </c>
      <c r="H6" s="6">
        <f>SUMIFS(Libro_Diario!$K:$K,Libro_Diario!$B:$B,"&lt;=2026-07",Libro_Diario!$N:$N,"Inventario")*1</f>
        <v/>
      </c>
      <c r="I6" s="6">
        <f>SUMIFS(Libro_Diario!$K:$K,Libro_Diario!$B:$B,"&lt;=2026-08",Libro_Diario!$N:$N,"Inventario")*1</f>
        <v/>
      </c>
      <c r="J6" s="6">
        <f>SUMIFS(Libro_Diario!$K:$K,Libro_Diario!$B:$B,"&lt;=2026-09",Libro_Diario!$N:$N,"Inventario")*1</f>
        <v/>
      </c>
      <c r="K6" s="6">
        <f>SUMIFS(Libro_Diario!$K:$K,Libro_Diario!$B:$B,"&lt;=2026-10",Libro_Diario!$N:$N,"Inventario")*1</f>
        <v/>
      </c>
      <c r="L6" s="6">
        <f>SUMIFS(Libro_Diario!$K:$K,Libro_Diario!$B:$B,"&lt;=2026-11",Libro_Diario!$N:$N,"Inventario")*1</f>
        <v/>
      </c>
      <c r="M6" s="6">
        <f>SUMIFS(Libro_Diario!$K:$K,Libro_Diario!$B:$B,"&lt;=2026-12",Libro_Diario!$N:$N,"Inventario")*1</f>
        <v/>
      </c>
    </row>
    <row r="7">
      <c r="A7" s="2" t="inlineStr">
        <is>
          <t>PP&amp;E</t>
        </is>
      </c>
      <c r="B7" s="6">
        <f>SUMIFS(Libro_Diario!$K:$K,Libro_Diario!$B:$B,"&lt;=2026-01",Libro_Diario!$N:$N,"PP&amp;E")*1</f>
        <v/>
      </c>
      <c r="C7" s="6">
        <f>SUMIFS(Libro_Diario!$K:$K,Libro_Diario!$B:$B,"&lt;=2026-02",Libro_Diario!$N:$N,"PP&amp;E")*1</f>
        <v/>
      </c>
      <c r="D7" s="6">
        <f>SUMIFS(Libro_Diario!$K:$K,Libro_Diario!$B:$B,"&lt;=2026-03",Libro_Diario!$N:$N,"PP&amp;E")*1</f>
        <v/>
      </c>
      <c r="E7" s="6">
        <f>SUMIFS(Libro_Diario!$K:$K,Libro_Diario!$B:$B,"&lt;=2026-04",Libro_Diario!$N:$N,"PP&amp;E")*1</f>
        <v/>
      </c>
      <c r="F7" s="6">
        <f>SUMIFS(Libro_Diario!$K:$K,Libro_Diario!$B:$B,"&lt;=2026-05",Libro_Diario!$N:$N,"PP&amp;E")*1</f>
        <v/>
      </c>
      <c r="G7" s="6">
        <f>SUMIFS(Libro_Diario!$K:$K,Libro_Diario!$B:$B,"&lt;=2026-06",Libro_Diario!$N:$N,"PP&amp;E")*1</f>
        <v/>
      </c>
      <c r="H7" s="6">
        <f>SUMIFS(Libro_Diario!$K:$K,Libro_Diario!$B:$B,"&lt;=2026-07",Libro_Diario!$N:$N,"PP&amp;E")*1</f>
        <v/>
      </c>
      <c r="I7" s="6">
        <f>SUMIFS(Libro_Diario!$K:$K,Libro_Diario!$B:$B,"&lt;=2026-08",Libro_Diario!$N:$N,"PP&amp;E")*1</f>
        <v/>
      </c>
      <c r="J7" s="6">
        <f>SUMIFS(Libro_Diario!$K:$K,Libro_Diario!$B:$B,"&lt;=2026-09",Libro_Diario!$N:$N,"PP&amp;E")*1</f>
        <v/>
      </c>
      <c r="K7" s="6">
        <f>SUMIFS(Libro_Diario!$K:$K,Libro_Diario!$B:$B,"&lt;=2026-10",Libro_Diario!$N:$N,"PP&amp;E")*1</f>
        <v/>
      </c>
      <c r="L7" s="6">
        <f>SUMIFS(Libro_Diario!$K:$K,Libro_Diario!$B:$B,"&lt;=2026-11",Libro_Diario!$N:$N,"PP&amp;E")*1</f>
        <v/>
      </c>
      <c r="M7" s="6">
        <f>SUMIFS(Libro_Diario!$K:$K,Libro_Diario!$B:$B,"&lt;=2026-12",Libro_Diario!$N:$N,"PP&amp;E")*1</f>
        <v/>
      </c>
    </row>
    <row r="8">
      <c r="A8" s="7" t="inlineStr">
        <is>
          <t>Total Activos</t>
        </is>
      </c>
      <c r="B8" s="6">
        <f>SUM(B4:B7)</f>
        <v/>
      </c>
      <c r="C8" s="6">
        <f>SUM(C4:C7)</f>
        <v/>
      </c>
      <c r="D8" s="6">
        <f>SUM(D4:D7)</f>
        <v/>
      </c>
      <c r="E8" s="6">
        <f>SUM(E4:E7)</f>
        <v/>
      </c>
      <c r="F8" s="6">
        <f>SUM(F4:F7)</f>
        <v/>
      </c>
      <c r="G8" s="6">
        <f>SUM(G4:G7)</f>
        <v/>
      </c>
      <c r="H8" s="6">
        <f>SUM(H4:H7)</f>
        <v/>
      </c>
      <c r="I8" s="6">
        <f>SUM(I4:I7)</f>
        <v/>
      </c>
      <c r="J8" s="6">
        <f>SUM(J4:J7)</f>
        <v/>
      </c>
      <c r="K8" s="6">
        <f>SUM(K4:K7)</f>
        <v/>
      </c>
      <c r="L8" s="6">
        <f>SUM(L4:L7)</f>
        <v/>
      </c>
      <c r="M8" s="6">
        <f>SUM(M4:M7)</f>
        <v/>
      </c>
    </row>
    <row r="9">
      <c r="A9" s="2" t="inlineStr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</row>
    <row r="10">
      <c r="A10" s="2" t="inlineStr">
        <is>
          <t>Cuentas por Pagar</t>
        </is>
      </c>
      <c r="B10" s="6">
        <f>SUMIFS(Libro_Diario!$K:$K,Libro_Diario!$B:$B,"&lt;=2026-01",Libro_Diario!$N:$N,"CxP")*-1</f>
        <v/>
      </c>
      <c r="C10" s="6">
        <f>SUMIFS(Libro_Diario!$K:$K,Libro_Diario!$B:$B,"&lt;=2026-02",Libro_Diario!$N:$N,"CxP")*-1</f>
        <v/>
      </c>
      <c r="D10" s="6">
        <f>SUMIFS(Libro_Diario!$K:$K,Libro_Diario!$B:$B,"&lt;=2026-03",Libro_Diario!$N:$N,"CxP")*-1</f>
        <v/>
      </c>
      <c r="E10" s="6">
        <f>SUMIFS(Libro_Diario!$K:$K,Libro_Diario!$B:$B,"&lt;=2026-04",Libro_Diario!$N:$N,"CxP")*-1</f>
        <v/>
      </c>
      <c r="F10" s="6">
        <f>SUMIFS(Libro_Diario!$K:$K,Libro_Diario!$B:$B,"&lt;=2026-05",Libro_Diario!$N:$N,"CxP")*-1</f>
        <v/>
      </c>
      <c r="G10" s="6">
        <f>SUMIFS(Libro_Diario!$K:$K,Libro_Diario!$B:$B,"&lt;=2026-06",Libro_Diario!$N:$N,"CxP")*-1</f>
        <v/>
      </c>
      <c r="H10" s="6">
        <f>SUMIFS(Libro_Diario!$K:$K,Libro_Diario!$B:$B,"&lt;=2026-07",Libro_Diario!$N:$N,"CxP")*-1</f>
        <v/>
      </c>
      <c r="I10" s="6">
        <f>SUMIFS(Libro_Diario!$K:$K,Libro_Diario!$B:$B,"&lt;=2026-08",Libro_Diario!$N:$N,"CxP")*-1</f>
        <v/>
      </c>
      <c r="J10" s="6">
        <f>SUMIFS(Libro_Diario!$K:$K,Libro_Diario!$B:$B,"&lt;=2026-09",Libro_Diario!$N:$N,"CxP")*-1</f>
        <v/>
      </c>
      <c r="K10" s="6">
        <f>SUMIFS(Libro_Diario!$K:$K,Libro_Diario!$B:$B,"&lt;=2026-10",Libro_Diario!$N:$N,"CxP")*-1</f>
        <v/>
      </c>
      <c r="L10" s="6">
        <f>SUMIFS(Libro_Diario!$K:$K,Libro_Diario!$B:$B,"&lt;=2026-11",Libro_Diario!$N:$N,"CxP")*-1</f>
        <v/>
      </c>
      <c r="M10" s="6">
        <f>SUMIFS(Libro_Diario!$K:$K,Libro_Diario!$B:$B,"&lt;=2026-12",Libro_Diario!$N:$N,"CxP")*-1</f>
        <v/>
      </c>
    </row>
    <row r="11">
      <c r="A11" s="2" t="inlineStr">
        <is>
          <t>Remuneraciones por Pagar</t>
        </is>
      </c>
      <c r="B11" s="6">
        <f>SUMIFS(Libro_Diario!$K:$K,Libro_Diario!$B:$B,"&lt;=2026-01",Libro_Diario!$N:$N,"Sueldos por pagar")*-1</f>
        <v/>
      </c>
      <c r="C11" s="6">
        <f>SUMIFS(Libro_Diario!$K:$K,Libro_Diario!$B:$B,"&lt;=2026-02",Libro_Diario!$N:$N,"Sueldos por pagar")*-1</f>
        <v/>
      </c>
      <c r="D11" s="6">
        <f>SUMIFS(Libro_Diario!$K:$K,Libro_Diario!$B:$B,"&lt;=2026-03",Libro_Diario!$N:$N,"Sueldos por pagar")*-1</f>
        <v/>
      </c>
      <c r="E11" s="6">
        <f>SUMIFS(Libro_Diario!$K:$K,Libro_Diario!$B:$B,"&lt;=2026-04",Libro_Diario!$N:$N,"Sueldos por pagar")*-1</f>
        <v/>
      </c>
      <c r="F11" s="6">
        <f>SUMIFS(Libro_Diario!$K:$K,Libro_Diario!$B:$B,"&lt;=2026-05",Libro_Diario!$N:$N,"Sueldos por pagar")*-1</f>
        <v/>
      </c>
      <c r="G11" s="6">
        <f>SUMIFS(Libro_Diario!$K:$K,Libro_Diario!$B:$B,"&lt;=2026-06",Libro_Diario!$N:$N,"Sueldos por pagar")*-1</f>
        <v/>
      </c>
      <c r="H11" s="6">
        <f>SUMIFS(Libro_Diario!$K:$K,Libro_Diario!$B:$B,"&lt;=2026-07",Libro_Diario!$N:$N,"Sueldos por pagar")*-1</f>
        <v/>
      </c>
      <c r="I11" s="6">
        <f>SUMIFS(Libro_Diario!$K:$K,Libro_Diario!$B:$B,"&lt;=2026-08",Libro_Diario!$N:$N,"Sueldos por pagar")*-1</f>
        <v/>
      </c>
      <c r="J11" s="6">
        <f>SUMIFS(Libro_Diario!$K:$K,Libro_Diario!$B:$B,"&lt;=2026-09",Libro_Diario!$N:$N,"Sueldos por pagar")*-1</f>
        <v/>
      </c>
      <c r="K11" s="6">
        <f>SUMIFS(Libro_Diario!$K:$K,Libro_Diario!$B:$B,"&lt;=2026-10",Libro_Diario!$N:$N,"Sueldos por pagar")*-1</f>
        <v/>
      </c>
      <c r="L11" s="6">
        <f>SUMIFS(Libro_Diario!$K:$K,Libro_Diario!$B:$B,"&lt;=2026-11",Libro_Diario!$N:$N,"Sueldos por pagar")*-1</f>
        <v/>
      </c>
      <c r="M11" s="6">
        <f>SUMIFS(Libro_Diario!$K:$K,Libro_Diario!$B:$B,"&lt;=2026-12",Libro_Diario!$N:$N,"Sueldos por pagar")*-1</f>
        <v/>
      </c>
    </row>
    <row r="12">
      <c r="A12" s="2" t="inlineStr">
        <is>
          <t>Impuestos por Pagar</t>
        </is>
      </c>
      <c r="B12" s="6">
        <f>SUMIFS(Libro_Diario!$K:$K,Libro_Diario!$B:$B,"&lt;=2026-01",Libro_Diario!$N:$N,"Impuestos por pagar")*-1</f>
        <v/>
      </c>
      <c r="C12" s="6">
        <f>SUMIFS(Libro_Diario!$K:$K,Libro_Diario!$B:$B,"&lt;=2026-02",Libro_Diario!$N:$N,"Impuestos por pagar")*-1</f>
        <v/>
      </c>
      <c r="D12" s="6">
        <f>SUMIFS(Libro_Diario!$K:$K,Libro_Diario!$B:$B,"&lt;=2026-03",Libro_Diario!$N:$N,"Impuestos por pagar")*-1</f>
        <v/>
      </c>
      <c r="E12" s="6">
        <f>SUMIFS(Libro_Diario!$K:$K,Libro_Diario!$B:$B,"&lt;=2026-04",Libro_Diario!$N:$N,"Impuestos por pagar")*-1</f>
        <v/>
      </c>
      <c r="F12" s="6">
        <f>SUMIFS(Libro_Diario!$K:$K,Libro_Diario!$B:$B,"&lt;=2026-05",Libro_Diario!$N:$N,"Impuestos por pagar")*-1</f>
        <v/>
      </c>
      <c r="G12" s="6">
        <f>SUMIFS(Libro_Diario!$K:$K,Libro_Diario!$B:$B,"&lt;=2026-06",Libro_Diario!$N:$N,"Impuestos por pagar")*-1</f>
        <v/>
      </c>
      <c r="H12" s="6">
        <f>SUMIFS(Libro_Diario!$K:$K,Libro_Diario!$B:$B,"&lt;=2026-07",Libro_Diario!$N:$N,"Impuestos por pagar")*-1</f>
        <v/>
      </c>
      <c r="I12" s="6">
        <f>SUMIFS(Libro_Diario!$K:$K,Libro_Diario!$B:$B,"&lt;=2026-08",Libro_Diario!$N:$N,"Impuestos por pagar")*-1</f>
        <v/>
      </c>
      <c r="J12" s="6">
        <f>SUMIFS(Libro_Diario!$K:$K,Libro_Diario!$B:$B,"&lt;=2026-09",Libro_Diario!$N:$N,"Impuestos por pagar")*-1</f>
        <v/>
      </c>
      <c r="K12" s="6">
        <f>SUMIFS(Libro_Diario!$K:$K,Libro_Diario!$B:$B,"&lt;=2026-10",Libro_Diario!$N:$N,"Impuestos por pagar")*-1</f>
        <v/>
      </c>
      <c r="L12" s="6">
        <f>SUMIFS(Libro_Diario!$K:$K,Libro_Diario!$B:$B,"&lt;=2026-11",Libro_Diario!$N:$N,"Impuestos por pagar")*-1</f>
        <v/>
      </c>
      <c r="M12" s="6">
        <f>SUMIFS(Libro_Diario!$K:$K,Libro_Diario!$B:$B,"&lt;=2026-12",Libro_Diario!$N:$N,"Impuestos por pagar")*-1</f>
        <v/>
      </c>
    </row>
    <row r="13">
      <c r="A13" s="7" t="inlineStr">
        <is>
          <t>Total Pasivos</t>
        </is>
      </c>
      <c r="B13" s="6">
        <f>SUM(B10:B12)</f>
        <v/>
      </c>
      <c r="C13" s="6">
        <f>SUM(C10:C12)</f>
        <v/>
      </c>
      <c r="D13" s="6">
        <f>SUM(D10:D12)</f>
        <v/>
      </c>
      <c r="E13" s="6">
        <f>SUM(E10:E12)</f>
        <v/>
      </c>
      <c r="F13" s="6">
        <f>SUM(F10:F12)</f>
        <v/>
      </c>
      <c r="G13" s="6">
        <f>SUM(G10:G12)</f>
        <v/>
      </c>
      <c r="H13" s="6">
        <f>SUM(H10:H12)</f>
        <v/>
      </c>
      <c r="I13" s="6">
        <f>SUM(I10:I12)</f>
        <v/>
      </c>
      <c r="J13" s="6">
        <f>SUM(J10:J12)</f>
        <v/>
      </c>
      <c r="K13" s="6">
        <f>SUM(K10:K12)</f>
        <v/>
      </c>
      <c r="L13" s="6">
        <f>SUM(L10:L12)</f>
        <v/>
      </c>
      <c r="M13" s="6">
        <f>SUM(M10:M12)</f>
        <v/>
      </c>
    </row>
    <row r="14">
      <c r="A14" s="2" t="inlineStr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</row>
    <row r="15">
      <c r="A15" s="2" t="inlineStr">
        <is>
          <t>Capital</t>
        </is>
      </c>
      <c r="B15" s="6">
        <f>SUMIFS(Libro_Diario!$K:$K,Libro_Diario!$B:$B,"&lt;=2026-01",Libro_Diario!$N:$N,"Capital")*-1</f>
        <v/>
      </c>
      <c r="C15" s="6">
        <f>SUMIFS(Libro_Diario!$K:$K,Libro_Diario!$B:$B,"&lt;=2026-02",Libro_Diario!$N:$N,"Capital")*-1</f>
        <v/>
      </c>
      <c r="D15" s="6">
        <f>SUMIFS(Libro_Diario!$K:$K,Libro_Diario!$B:$B,"&lt;=2026-03",Libro_Diario!$N:$N,"Capital")*-1</f>
        <v/>
      </c>
      <c r="E15" s="6">
        <f>SUMIFS(Libro_Diario!$K:$K,Libro_Diario!$B:$B,"&lt;=2026-04",Libro_Diario!$N:$N,"Capital")*-1</f>
        <v/>
      </c>
      <c r="F15" s="6">
        <f>SUMIFS(Libro_Diario!$K:$K,Libro_Diario!$B:$B,"&lt;=2026-05",Libro_Diario!$N:$N,"Capital")*-1</f>
        <v/>
      </c>
      <c r="G15" s="6">
        <f>SUMIFS(Libro_Diario!$K:$K,Libro_Diario!$B:$B,"&lt;=2026-06",Libro_Diario!$N:$N,"Capital")*-1</f>
        <v/>
      </c>
      <c r="H15" s="6">
        <f>SUMIFS(Libro_Diario!$K:$K,Libro_Diario!$B:$B,"&lt;=2026-07",Libro_Diario!$N:$N,"Capital")*-1</f>
        <v/>
      </c>
      <c r="I15" s="6">
        <f>SUMIFS(Libro_Diario!$K:$K,Libro_Diario!$B:$B,"&lt;=2026-08",Libro_Diario!$N:$N,"Capital")*-1</f>
        <v/>
      </c>
      <c r="J15" s="6">
        <f>SUMIFS(Libro_Diario!$K:$K,Libro_Diario!$B:$B,"&lt;=2026-09",Libro_Diario!$N:$N,"Capital")*-1</f>
        <v/>
      </c>
      <c r="K15" s="6">
        <f>SUMIFS(Libro_Diario!$K:$K,Libro_Diario!$B:$B,"&lt;=2026-10",Libro_Diario!$N:$N,"Capital")*-1</f>
        <v/>
      </c>
      <c r="L15" s="6">
        <f>SUMIFS(Libro_Diario!$K:$K,Libro_Diario!$B:$B,"&lt;=2026-11",Libro_Diario!$N:$N,"Capital")*-1</f>
        <v/>
      </c>
      <c r="M15" s="6">
        <f>SUMIFS(Libro_Diario!$K:$K,Libro_Diario!$B:$B,"&lt;=2026-12",Libro_Diario!$N:$N,"Capital")*-1</f>
        <v/>
      </c>
    </row>
    <row r="16">
      <c r="A16" s="2" t="inlineStr">
        <is>
          <t>Resultado acumulado</t>
        </is>
      </c>
      <c r="B16" s="6">
        <f>SUM(Resultados!$B$17:B$17)</f>
        <v/>
      </c>
      <c r="C16" s="6">
        <f>SUM(Resultados!$B$17:C$17)</f>
        <v/>
      </c>
      <c r="D16" s="6">
        <f>SUM(Resultados!$B$17:D$17)</f>
        <v/>
      </c>
      <c r="E16" s="6">
        <f>SUM(Resultados!$B$17:E$17)</f>
        <v/>
      </c>
      <c r="F16" s="6">
        <f>SUM(Resultados!$B$17:F$17)</f>
        <v/>
      </c>
      <c r="G16" s="6">
        <f>SUM(Resultados!$B$17:G$17)</f>
        <v/>
      </c>
      <c r="H16" s="6">
        <f>SUM(Resultados!$B$17:H$17)</f>
        <v/>
      </c>
      <c r="I16" s="6">
        <f>SUM(Resultados!$B$17:I$17)</f>
        <v/>
      </c>
      <c r="J16" s="6">
        <f>SUM(Resultados!$B$17:J$17)</f>
        <v/>
      </c>
      <c r="K16" s="6">
        <f>SUM(Resultados!$B$17:K$17)</f>
        <v/>
      </c>
      <c r="L16" s="6">
        <f>SUM(Resultados!$B$17:L$17)</f>
        <v/>
      </c>
      <c r="M16" s="6">
        <f>SUM(Resultados!$B$17:M$17)</f>
        <v/>
      </c>
    </row>
    <row r="17">
      <c r="A17" s="7" t="inlineStr">
        <is>
          <t>Patrimonio</t>
        </is>
      </c>
      <c r="B17" s="6">
        <f>SUM(B15:B16)</f>
        <v/>
      </c>
      <c r="C17" s="6">
        <f>SUM(C15:C16)</f>
        <v/>
      </c>
      <c r="D17" s="6">
        <f>SUM(D15:D16)</f>
        <v/>
      </c>
      <c r="E17" s="6">
        <f>SUM(E15:E16)</f>
        <v/>
      </c>
      <c r="F17" s="6">
        <f>SUM(F15:F16)</f>
        <v/>
      </c>
      <c r="G17" s="6">
        <f>SUM(G15:G16)</f>
        <v/>
      </c>
      <c r="H17" s="6">
        <f>SUM(H15:H16)</f>
        <v/>
      </c>
      <c r="I17" s="6">
        <f>SUM(I15:I16)</f>
        <v/>
      </c>
      <c r="J17" s="6">
        <f>SUM(J15:J16)</f>
        <v/>
      </c>
      <c r="K17" s="6">
        <f>SUM(K15:K16)</f>
        <v/>
      </c>
      <c r="L17" s="6">
        <f>SUM(L15:L16)</f>
        <v/>
      </c>
      <c r="M17" s="6">
        <f>SUM(M15:M16)</f>
        <v/>
      </c>
    </row>
    <row r="18">
      <c r="A18" s="7" t="inlineStr">
        <is>
          <t>Pasivo + Patrimonio</t>
        </is>
      </c>
      <c r="B18" s="6">
        <f>B13+B17</f>
        <v/>
      </c>
      <c r="C18" s="6">
        <f>C13+C17</f>
        <v/>
      </c>
      <c r="D18" s="6">
        <f>D13+D17</f>
        <v/>
      </c>
      <c r="E18" s="6">
        <f>E13+E17</f>
        <v/>
      </c>
      <c r="F18" s="6">
        <f>F13+F17</f>
        <v/>
      </c>
      <c r="G18" s="6">
        <f>G13+G17</f>
        <v/>
      </c>
      <c r="H18" s="6">
        <f>H13+H17</f>
        <v/>
      </c>
      <c r="I18" s="6">
        <f>I13+I17</f>
        <v/>
      </c>
      <c r="J18" s="6">
        <f>J13+J17</f>
        <v/>
      </c>
      <c r="K18" s="6">
        <f>K13+K17</f>
        <v/>
      </c>
      <c r="L18" s="6">
        <f>L13+L17</f>
        <v/>
      </c>
      <c r="M18" s="6">
        <f>M13+M17</f>
        <v/>
      </c>
    </row>
    <row r="19">
      <c r="A19" s="8" t="inlineStr">
        <is>
          <t>Check</t>
        </is>
      </c>
      <c r="B19" s="9">
        <f>B8-B18</f>
        <v/>
      </c>
      <c r="C19" s="9">
        <f>C8-C18</f>
        <v/>
      </c>
      <c r="D19" s="9">
        <f>D8-D18</f>
        <v/>
      </c>
      <c r="E19" s="9">
        <f>E8-E18</f>
        <v/>
      </c>
      <c r="F19" s="9">
        <f>F8-F18</f>
        <v/>
      </c>
      <c r="G19" s="9">
        <f>G8-G18</f>
        <v/>
      </c>
      <c r="H19" s="9">
        <f>H8-H18</f>
        <v/>
      </c>
      <c r="I19" s="9">
        <f>I8-I18</f>
        <v/>
      </c>
      <c r="J19" s="9">
        <f>J8-J18</f>
        <v/>
      </c>
      <c r="K19" s="9">
        <f>K8-K18</f>
        <v/>
      </c>
      <c r="L19" s="9">
        <f>L8-L18</f>
        <v/>
      </c>
      <c r="M19" s="9">
        <f>M8-M18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Estado de Resultados (mensual) desde Libro Diario</t>
        </is>
      </c>
    </row>
    <row r="3">
      <c r="A3" s="2" t="n"/>
      <c r="B3" s="4" t="inlineStr">
        <is>
          <t>2026-01</t>
        </is>
      </c>
      <c r="C3" s="4" t="inlineStr">
        <is>
          <t>2026-02</t>
        </is>
      </c>
      <c r="D3" s="4" t="inlineStr">
        <is>
          <t>2026-03</t>
        </is>
      </c>
      <c r="E3" s="4" t="inlineStr">
        <is>
          <t>2026-04</t>
        </is>
      </c>
      <c r="F3" s="4" t="inlineStr">
        <is>
          <t>2026-05</t>
        </is>
      </c>
      <c r="G3" s="4" t="inlineStr">
        <is>
          <t>2026-06</t>
        </is>
      </c>
      <c r="H3" s="4" t="inlineStr">
        <is>
          <t>2026-07</t>
        </is>
      </c>
      <c r="I3" s="4" t="inlineStr">
        <is>
          <t>2026-08</t>
        </is>
      </c>
      <c r="J3" s="4" t="inlineStr">
        <is>
          <t>2026-09</t>
        </is>
      </c>
      <c r="K3" s="4" t="inlineStr">
        <is>
          <t>2026-10</t>
        </is>
      </c>
      <c r="L3" s="4" t="inlineStr">
        <is>
          <t>2026-11</t>
        </is>
      </c>
      <c r="M3" s="4" t="inlineStr">
        <is>
          <t>2026-12</t>
        </is>
      </c>
    </row>
    <row r="4">
      <c r="A4" s="2" t="inlineStr">
        <is>
          <t>Ventas</t>
        </is>
      </c>
      <c r="B4" s="6">
        <f>SUMIFS(Libro_Diario!$K:$K,Libro_Diario!$B:$B,"2026-01",Libro_Diario!$M:$M,"Ingresos")*-1</f>
        <v/>
      </c>
      <c r="C4" s="6">
        <f>SUMIFS(Libro_Diario!$K:$K,Libro_Diario!$B:$B,"2026-02",Libro_Diario!$M:$M,"Ingresos")*-1</f>
        <v/>
      </c>
      <c r="D4" s="6">
        <f>SUMIFS(Libro_Diario!$K:$K,Libro_Diario!$B:$B,"2026-03",Libro_Diario!$M:$M,"Ingresos")*-1</f>
        <v/>
      </c>
      <c r="E4" s="6">
        <f>SUMIFS(Libro_Diario!$K:$K,Libro_Diario!$B:$B,"2026-04",Libro_Diario!$M:$M,"Ingresos")*-1</f>
        <v/>
      </c>
      <c r="F4" s="6">
        <f>SUMIFS(Libro_Diario!$K:$K,Libro_Diario!$B:$B,"2026-05",Libro_Diario!$M:$M,"Ingresos")*-1</f>
        <v/>
      </c>
      <c r="G4" s="6">
        <f>SUMIFS(Libro_Diario!$K:$K,Libro_Diario!$B:$B,"2026-06",Libro_Diario!$M:$M,"Ingresos")*-1</f>
        <v/>
      </c>
      <c r="H4" s="6">
        <f>SUMIFS(Libro_Diario!$K:$K,Libro_Diario!$B:$B,"2026-07",Libro_Diario!$M:$M,"Ingresos")*-1</f>
        <v/>
      </c>
      <c r="I4" s="6">
        <f>SUMIFS(Libro_Diario!$K:$K,Libro_Diario!$B:$B,"2026-08",Libro_Diario!$M:$M,"Ingresos")*-1</f>
        <v/>
      </c>
      <c r="J4" s="6">
        <f>SUMIFS(Libro_Diario!$K:$K,Libro_Diario!$B:$B,"2026-09",Libro_Diario!$M:$M,"Ingresos")*-1</f>
        <v/>
      </c>
      <c r="K4" s="6">
        <f>SUMIFS(Libro_Diario!$K:$K,Libro_Diario!$B:$B,"2026-10",Libro_Diario!$M:$M,"Ingresos")*-1</f>
        <v/>
      </c>
      <c r="L4" s="6">
        <f>SUMIFS(Libro_Diario!$K:$K,Libro_Diario!$B:$B,"2026-11",Libro_Diario!$M:$M,"Ingresos")*-1</f>
        <v/>
      </c>
      <c r="M4" s="6">
        <f>SUMIFS(Libro_Diario!$K:$K,Libro_Diario!$B:$B,"2026-12",Libro_Diario!$M:$M,"Ingresos")*-1</f>
        <v/>
      </c>
    </row>
    <row r="5">
      <c r="A5" s="2" t="inlineStr">
        <is>
          <t>Costo de Ventas</t>
        </is>
      </c>
      <c r="B5" s="6">
        <f>SUMIFS(Libro_Diario!$K:$K,Libro_Diario!$B:$B,"2026-01",Libro_Diario!$M:$M,"Costos")*1</f>
        <v/>
      </c>
      <c r="C5" s="6">
        <f>SUMIFS(Libro_Diario!$K:$K,Libro_Diario!$B:$B,"2026-02",Libro_Diario!$M:$M,"Costos")*1</f>
        <v/>
      </c>
      <c r="D5" s="6">
        <f>SUMIFS(Libro_Diario!$K:$K,Libro_Diario!$B:$B,"2026-03",Libro_Diario!$M:$M,"Costos")*1</f>
        <v/>
      </c>
      <c r="E5" s="6">
        <f>SUMIFS(Libro_Diario!$K:$K,Libro_Diario!$B:$B,"2026-04",Libro_Diario!$M:$M,"Costos")*1</f>
        <v/>
      </c>
      <c r="F5" s="6">
        <f>SUMIFS(Libro_Diario!$K:$K,Libro_Diario!$B:$B,"2026-05",Libro_Diario!$M:$M,"Costos")*1</f>
        <v/>
      </c>
      <c r="G5" s="6">
        <f>SUMIFS(Libro_Diario!$K:$K,Libro_Diario!$B:$B,"2026-06",Libro_Diario!$M:$M,"Costos")*1</f>
        <v/>
      </c>
      <c r="H5" s="6">
        <f>SUMIFS(Libro_Diario!$K:$K,Libro_Diario!$B:$B,"2026-07",Libro_Diario!$M:$M,"Costos")*1</f>
        <v/>
      </c>
      <c r="I5" s="6">
        <f>SUMIFS(Libro_Diario!$K:$K,Libro_Diario!$B:$B,"2026-08",Libro_Diario!$M:$M,"Costos")*1</f>
        <v/>
      </c>
      <c r="J5" s="6">
        <f>SUMIFS(Libro_Diario!$K:$K,Libro_Diario!$B:$B,"2026-09",Libro_Diario!$M:$M,"Costos")*1</f>
        <v/>
      </c>
      <c r="K5" s="6">
        <f>SUMIFS(Libro_Diario!$K:$K,Libro_Diario!$B:$B,"2026-10",Libro_Diario!$M:$M,"Costos")*1</f>
        <v/>
      </c>
      <c r="L5" s="6">
        <f>SUMIFS(Libro_Diario!$K:$K,Libro_Diario!$B:$B,"2026-11",Libro_Diario!$M:$M,"Costos")*1</f>
        <v/>
      </c>
      <c r="M5" s="6">
        <f>SUMIFS(Libro_Diario!$K:$K,Libro_Diario!$B:$B,"2026-12",Libro_Diario!$M:$M,"Costos")*1</f>
        <v/>
      </c>
    </row>
    <row r="6">
      <c r="A6" s="7" t="inlineStr">
        <is>
          <t>Utilidad Bruta</t>
        </is>
      </c>
      <c r="B6" s="6">
        <f>B4-B5</f>
        <v/>
      </c>
      <c r="C6" s="6">
        <f>C4-C5</f>
        <v/>
      </c>
      <c r="D6" s="6">
        <f>D4-D5</f>
        <v/>
      </c>
      <c r="E6" s="6">
        <f>E4-E5</f>
        <v/>
      </c>
      <c r="F6" s="6">
        <f>F4-F5</f>
        <v/>
      </c>
      <c r="G6" s="6">
        <f>G4-G5</f>
        <v/>
      </c>
      <c r="H6" s="6">
        <f>H4-H5</f>
        <v/>
      </c>
      <c r="I6" s="6">
        <f>I4-I5</f>
        <v/>
      </c>
      <c r="J6" s="6">
        <f>J4-J5</f>
        <v/>
      </c>
      <c r="K6" s="6">
        <f>K4-K5</f>
        <v/>
      </c>
      <c r="L6" s="6">
        <f>L4-L5</f>
        <v/>
      </c>
      <c r="M6" s="6">
        <f>M4-M5</f>
        <v/>
      </c>
    </row>
    <row r="7">
      <c r="A7" s="2" t="inlineStr">
        <is>
          <t>Sueldos</t>
        </is>
      </c>
      <c r="B7" s="6">
        <f>SUMIFS(Libro_Diario!$K:$K,Libro_Diario!$B:$B,"2026-01",Libro_Diario!$N:$N,"Sueldos")*1</f>
        <v/>
      </c>
      <c r="C7" s="6">
        <f>SUMIFS(Libro_Diario!$K:$K,Libro_Diario!$B:$B,"2026-02",Libro_Diario!$N:$N,"Sueldos")*1</f>
        <v/>
      </c>
      <c r="D7" s="6">
        <f>SUMIFS(Libro_Diario!$K:$K,Libro_Diario!$B:$B,"2026-03",Libro_Diario!$N:$N,"Sueldos")*1</f>
        <v/>
      </c>
      <c r="E7" s="6">
        <f>SUMIFS(Libro_Diario!$K:$K,Libro_Diario!$B:$B,"2026-04",Libro_Diario!$N:$N,"Sueldos")*1</f>
        <v/>
      </c>
      <c r="F7" s="6">
        <f>SUMIFS(Libro_Diario!$K:$K,Libro_Diario!$B:$B,"2026-05",Libro_Diario!$N:$N,"Sueldos")*1</f>
        <v/>
      </c>
      <c r="G7" s="6">
        <f>SUMIFS(Libro_Diario!$K:$K,Libro_Diario!$B:$B,"2026-06",Libro_Diario!$N:$N,"Sueldos")*1</f>
        <v/>
      </c>
      <c r="H7" s="6">
        <f>SUMIFS(Libro_Diario!$K:$K,Libro_Diario!$B:$B,"2026-07",Libro_Diario!$N:$N,"Sueldos")*1</f>
        <v/>
      </c>
      <c r="I7" s="6">
        <f>SUMIFS(Libro_Diario!$K:$K,Libro_Diario!$B:$B,"2026-08",Libro_Diario!$N:$N,"Sueldos")*1</f>
        <v/>
      </c>
      <c r="J7" s="6">
        <f>SUMIFS(Libro_Diario!$K:$K,Libro_Diario!$B:$B,"2026-09",Libro_Diario!$N:$N,"Sueldos")*1</f>
        <v/>
      </c>
      <c r="K7" s="6">
        <f>SUMIFS(Libro_Diario!$K:$K,Libro_Diario!$B:$B,"2026-10",Libro_Diario!$N:$N,"Sueldos")*1</f>
        <v/>
      </c>
      <c r="L7" s="6">
        <f>SUMIFS(Libro_Diario!$K:$K,Libro_Diario!$B:$B,"2026-11",Libro_Diario!$N:$N,"Sueldos")*1</f>
        <v/>
      </c>
      <c r="M7" s="6">
        <f>SUMIFS(Libro_Diario!$K:$K,Libro_Diario!$B:$B,"2026-12",Libro_Diario!$N:$N,"Sueldos")*1</f>
        <v/>
      </c>
    </row>
    <row r="8">
      <c r="A8" s="2" t="inlineStr">
        <is>
          <t>Arriendos</t>
        </is>
      </c>
      <c r="B8" s="6">
        <f>SUMIFS(Libro_Diario!$K:$K,Libro_Diario!$B:$B,"2026-01",Libro_Diario!$N:$N,"Arriendos")*1</f>
        <v/>
      </c>
      <c r="C8" s="6">
        <f>SUMIFS(Libro_Diario!$K:$K,Libro_Diario!$B:$B,"2026-02",Libro_Diario!$N:$N,"Arriendos")*1</f>
        <v/>
      </c>
      <c r="D8" s="6">
        <f>SUMIFS(Libro_Diario!$K:$K,Libro_Diario!$B:$B,"2026-03",Libro_Diario!$N:$N,"Arriendos")*1</f>
        <v/>
      </c>
      <c r="E8" s="6">
        <f>SUMIFS(Libro_Diario!$K:$K,Libro_Diario!$B:$B,"2026-04",Libro_Diario!$N:$N,"Arriendos")*1</f>
        <v/>
      </c>
      <c r="F8" s="6">
        <f>SUMIFS(Libro_Diario!$K:$K,Libro_Diario!$B:$B,"2026-05",Libro_Diario!$N:$N,"Arriendos")*1</f>
        <v/>
      </c>
      <c r="G8" s="6">
        <f>SUMIFS(Libro_Diario!$K:$K,Libro_Diario!$B:$B,"2026-06",Libro_Diario!$N:$N,"Arriendos")*1</f>
        <v/>
      </c>
      <c r="H8" s="6">
        <f>SUMIFS(Libro_Diario!$K:$K,Libro_Diario!$B:$B,"2026-07",Libro_Diario!$N:$N,"Arriendos")*1</f>
        <v/>
      </c>
      <c r="I8" s="6">
        <f>SUMIFS(Libro_Diario!$K:$K,Libro_Diario!$B:$B,"2026-08",Libro_Diario!$N:$N,"Arriendos")*1</f>
        <v/>
      </c>
      <c r="J8" s="6">
        <f>SUMIFS(Libro_Diario!$K:$K,Libro_Diario!$B:$B,"2026-09",Libro_Diario!$N:$N,"Arriendos")*1</f>
        <v/>
      </c>
      <c r="K8" s="6">
        <f>SUMIFS(Libro_Diario!$K:$K,Libro_Diario!$B:$B,"2026-10",Libro_Diario!$N:$N,"Arriendos")*1</f>
        <v/>
      </c>
      <c r="L8" s="6">
        <f>SUMIFS(Libro_Diario!$K:$K,Libro_Diario!$B:$B,"2026-11",Libro_Diario!$N:$N,"Arriendos")*1</f>
        <v/>
      </c>
      <c r="M8" s="6">
        <f>SUMIFS(Libro_Diario!$K:$K,Libro_Diario!$B:$B,"2026-12",Libro_Diario!$N:$N,"Arriendos")*1</f>
        <v/>
      </c>
    </row>
    <row r="9">
      <c r="A9" s="2" t="inlineStr">
        <is>
          <t>Servicios</t>
        </is>
      </c>
      <c r="B9" s="6">
        <f>SUMIFS(Libro_Diario!$K:$K,Libro_Diario!$B:$B,"2026-01",Libro_Diario!$N:$N,"Servicios")*1</f>
        <v/>
      </c>
      <c r="C9" s="6">
        <f>SUMIFS(Libro_Diario!$K:$K,Libro_Diario!$B:$B,"2026-02",Libro_Diario!$N:$N,"Servicios")*1</f>
        <v/>
      </c>
      <c r="D9" s="6">
        <f>SUMIFS(Libro_Diario!$K:$K,Libro_Diario!$B:$B,"2026-03",Libro_Diario!$N:$N,"Servicios")*1</f>
        <v/>
      </c>
      <c r="E9" s="6">
        <f>SUMIFS(Libro_Diario!$K:$K,Libro_Diario!$B:$B,"2026-04",Libro_Diario!$N:$N,"Servicios")*1</f>
        <v/>
      </c>
      <c r="F9" s="6">
        <f>SUMIFS(Libro_Diario!$K:$K,Libro_Diario!$B:$B,"2026-05",Libro_Diario!$N:$N,"Servicios")*1</f>
        <v/>
      </c>
      <c r="G9" s="6">
        <f>SUMIFS(Libro_Diario!$K:$K,Libro_Diario!$B:$B,"2026-06",Libro_Diario!$N:$N,"Servicios")*1</f>
        <v/>
      </c>
      <c r="H9" s="6">
        <f>SUMIFS(Libro_Diario!$K:$K,Libro_Diario!$B:$B,"2026-07",Libro_Diario!$N:$N,"Servicios")*1</f>
        <v/>
      </c>
      <c r="I9" s="6">
        <f>SUMIFS(Libro_Diario!$K:$K,Libro_Diario!$B:$B,"2026-08",Libro_Diario!$N:$N,"Servicios")*1</f>
        <v/>
      </c>
      <c r="J9" s="6">
        <f>SUMIFS(Libro_Diario!$K:$K,Libro_Diario!$B:$B,"2026-09",Libro_Diario!$N:$N,"Servicios")*1</f>
        <v/>
      </c>
      <c r="K9" s="6">
        <f>SUMIFS(Libro_Diario!$K:$K,Libro_Diario!$B:$B,"2026-10",Libro_Diario!$N:$N,"Servicios")*1</f>
        <v/>
      </c>
      <c r="L9" s="6">
        <f>SUMIFS(Libro_Diario!$K:$K,Libro_Diario!$B:$B,"2026-11",Libro_Diario!$N:$N,"Servicios")*1</f>
        <v/>
      </c>
      <c r="M9" s="6">
        <f>SUMIFS(Libro_Diario!$K:$K,Libro_Diario!$B:$B,"2026-12",Libro_Diario!$N:$N,"Servicios")*1</f>
        <v/>
      </c>
    </row>
    <row r="10">
      <c r="A10" s="2" t="inlineStr">
        <is>
          <t>Depreciación</t>
        </is>
      </c>
      <c r="B10" s="6">
        <f>SUMIFS(Libro_Diario!$K:$K,Libro_Diario!$B:$B,"2026-01",Libro_Diario!$N:$N,"Depreciación")*1</f>
        <v/>
      </c>
      <c r="C10" s="6">
        <f>SUMIFS(Libro_Diario!$K:$K,Libro_Diario!$B:$B,"2026-02",Libro_Diario!$N:$N,"Depreciación")*1</f>
        <v/>
      </c>
      <c r="D10" s="6">
        <f>SUMIFS(Libro_Diario!$K:$K,Libro_Diario!$B:$B,"2026-03",Libro_Diario!$N:$N,"Depreciación")*1</f>
        <v/>
      </c>
      <c r="E10" s="6">
        <f>SUMIFS(Libro_Diario!$K:$K,Libro_Diario!$B:$B,"2026-04",Libro_Diario!$N:$N,"Depreciación")*1</f>
        <v/>
      </c>
      <c r="F10" s="6">
        <f>SUMIFS(Libro_Diario!$K:$K,Libro_Diario!$B:$B,"2026-05",Libro_Diario!$N:$N,"Depreciación")*1</f>
        <v/>
      </c>
      <c r="G10" s="6">
        <f>SUMIFS(Libro_Diario!$K:$K,Libro_Diario!$B:$B,"2026-06",Libro_Diario!$N:$N,"Depreciación")*1</f>
        <v/>
      </c>
      <c r="H10" s="6">
        <f>SUMIFS(Libro_Diario!$K:$K,Libro_Diario!$B:$B,"2026-07",Libro_Diario!$N:$N,"Depreciación")*1</f>
        <v/>
      </c>
      <c r="I10" s="6">
        <f>SUMIFS(Libro_Diario!$K:$K,Libro_Diario!$B:$B,"2026-08",Libro_Diario!$N:$N,"Depreciación")*1</f>
        <v/>
      </c>
      <c r="J10" s="6">
        <f>SUMIFS(Libro_Diario!$K:$K,Libro_Diario!$B:$B,"2026-09",Libro_Diario!$N:$N,"Depreciación")*1</f>
        <v/>
      </c>
      <c r="K10" s="6">
        <f>SUMIFS(Libro_Diario!$K:$K,Libro_Diario!$B:$B,"2026-10",Libro_Diario!$N:$N,"Depreciación")*1</f>
        <v/>
      </c>
      <c r="L10" s="6">
        <f>SUMIFS(Libro_Diario!$K:$K,Libro_Diario!$B:$B,"2026-11",Libro_Diario!$N:$N,"Depreciación")*1</f>
        <v/>
      </c>
      <c r="M10" s="6">
        <f>SUMIFS(Libro_Diario!$K:$K,Libro_Diario!$B:$B,"2026-12",Libro_Diario!$N:$N,"Depreciación")*1</f>
        <v/>
      </c>
    </row>
    <row r="11">
      <c r="A11" s="7" t="inlineStr">
        <is>
          <t>Opex</t>
        </is>
      </c>
      <c r="B11" s="6">
        <f>SUM(B7:B10)</f>
        <v/>
      </c>
      <c r="C11" s="6">
        <f>SUM(C7:C10)</f>
        <v/>
      </c>
      <c r="D11" s="6">
        <f>SUM(D7:D10)</f>
        <v/>
      </c>
      <c r="E11" s="6">
        <f>SUM(E7:E10)</f>
        <v/>
      </c>
      <c r="F11" s="6">
        <f>SUM(F7:F10)</f>
        <v/>
      </c>
      <c r="G11" s="6">
        <f>SUM(G7:G10)</f>
        <v/>
      </c>
      <c r="H11" s="6">
        <f>SUM(H7:H10)</f>
        <v/>
      </c>
      <c r="I11" s="6">
        <f>SUM(I7:I10)</f>
        <v/>
      </c>
      <c r="J11" s="6">
        <f>SUM(J7:J10)</f>
        <v/>
      </c>
      <c r="K11" s="6">
        <f>SUM(K7:K10)</f>
        <v/>
      </c>
      <c r="L11" s="6">
        <f>SUM(L7:L10)</f>
        <v/>
      </c>
      <c r="M11" s="6">
        <f>SUM(M7:M10)</f>
        <v/>
      </c>
    </row>
    <row r="12">
      <c r="A12" s="7" t="inlineStr">
        <is>
          <t>EBITDA</t>
        </is>
      </c>
      <c r="B12" s="6">
        <f>B6-B11+B10</f>
        <v/>
      </c>
      <c r="C12" s="6">
        <f>C6-C11+C10</f>
        <v/>
      </c>
      <c r="D12" s="6">
        <f>D6-D11+D10</f>
        <v/>
      </c>
      <c r="E12" s="6">
        <f>E6-E11+E10</f>
        <v/>
      </c>
      <c r="F12" s="6">
        <f>F6-F11+F10</f>
        <v/>
      </c>
      <c r="G12" s="6">
        <f>G6-G11+G10</f>
        <v/>
      </c>
      <c r="H12" s="6">
        <f>H6-H11+H10</f>
        <v/>
      </c>
      <c r="I12" s="6">
        <f>I6-I11+I10</f>
        <v/>
      </c>
      <c r="J12" s="6">
        <f>J6-J11+J10</f>
        <v/>
      </c>
      <c r="K12" s="6">
        <f>K6-K11+K10</f>
        <v/>
      </c>
      <c r="L12" s="6">
        <f>L6-L11+L10</f>
        <v/>
      </c>
      <c r="M12" s="6">
        <f>M6-M11+M10</f>
        <v/>
      </c>
    </row>
    <row r="13">
      <c r="A13" s="2" t="inlineStr">
        <is>
          <t>Gasto Financiero</t>
        </is>
      </c>
      <c r="B13" s="6">
        <f>SUMIFS(Libro_Diario!$K:$K,Libro_Diario!$B:$B,"2026-01",Libro_Diario!$M:$M,"No operacional")*1</f>
        <v/>
      </c>
      <c r="C13" s="6">
        <f>SUMIFS(Libro_Diario!$K:$K,Libro_Diario!$B:$B,"2026-02",Libro_Diario!$M:$M,"No operacional")*1</f>
        <v/>
      </c>
      <c r="D13" s="6">
        <f>SUMIFS(Libro_Diario!$K:$K,Libro_Diario!$B:$B,"2026-03",Libro_Diario!$M:$M,"No operacional")*1</f>
        <v/>
      </c>
      <c r="E13" s="6">
        <f>SUMIFS(Libro_Diario!$K:$K,Libro_Diario!$B:$B,"2026-04",Libro_Diario!$M:$M,"No operacional")*1</f>
        <v/>
      </c>
      <c r="F13" s="6">
        <f>SUMIFS(Libro_Diario!$K:$K,Libro_Diario!$B:$B,"2026-05",Libro_Diario!$M:$M,"No operacional")*1</f>
        <v/>
      </c>
      <c r="G13" s="6">
        <f>SUMIFS(Libro_Diario!$K:$K,Libro_Diario!$B:$B,"2026-06",Libro_Diario!$M:$M,"No operacional")*1</f>
        <v/>
      </c>
      <c r="H13" s="6">
        <f>SUMIFS(Libro_Diario!$K:$K,Libro_Diario!$B:$B,"2026-07",Libro_Diario!$M:$M,"No operacional")*1</f>
        <v/>
      </c>
      <c r="I13" s="6">
        <f>SUMIFS(Libro_Diario!$K:$K,Libro_Diario!$B:$B,"2026-08",Libro_Diario!$M:$M,"No operacional")*1</f>
        <v/>
      </c>
      <c r="J13" s="6">
        <f>SUMIFS(Libro_Diario!$K:$K,Libro_Diario!$B:$B,"2026-09",Libro_Diario!$M:$M,"No operacional")*1</f>
        <v/>
      </c>
      <c r="K13" s="6">
        <f>SUMIFS(Libro_Diario!$K:$K,Libro_Diario!$B:$B,"2026-10",Libro_Diario!$M:$M,"No operacional")*1</f>
        <v/>
      </c>
      <c r="L13" s="6">
        <f>SUMIFS(Libro_Diario!$K:$K,Libro_Diario!$B:$B,"2026-11",Libro_Diario!$M:$M,"No operacional")*1</f>
        <v/>
      </c>
      <c r="M13" s="6">
        <f>SUMIFS(Libro_Diario!$K:$K,Libro_Diario!$B:$B,"2026-12",Libro_Diario!$M:$M,"No operacional")*1</f>
        <v/>
      </c>
    </row>
    <row r="14">
      <c r="A14" s="7" t="inlineStr">
        <is>
          <t>EBT</t>
        </is>
      </c>
      <c r="B14" s="6">
        <f>B6-B11-B13</f>
        <v/>
      </c>
      <c r="C14" s="6">
        <f>C6-C11-C13</f>
        <v/>
      </c>
      <c r="D14" s="6">
        <f>D6-D11-D13</f>
        <v/>
      </c>
      <c r="E14" s="6">
        <f>E6-E11-E13</f>
        <v/>
      </c>
      <c r="F14" s="6">
        <f>F6-F11-F13</f>
        <v/>
      </c>
      <c r="G14" s="6">
        <f>G6-G11-G13</f>
        <v/>
      </c>
      <c r="H14" s="6">
        <f>H6-H11-H13</f>
        <v/>
      </c>
      <c r="I14" s="6">
        <f>I6-I11-I13</f>
        <v/>
      </c>
      <c r="J14" s="6">
        <f>J6-J11-J13</f>
        <v/>
      </c>
      <c r="K14" s="6">
        <f>K6-K11-K13</f>
        <v/>
      </c>
      <c r="L14" s="6">
        <f>L6-L11-L13</f>
        <v/>
      </c>
      <c r="M14" s="6">
        <f>M6-M11-M13</f>
        <v/>
      </c>
    </row>
    <row r="15">
      <c r="A15" s="2" t="inlineStr">
        <is>
          <t>Impuesto (placeholder)</t>
        </is>
      </c>
      <c r="B15" s="6">
        <f>IF(B14&gt;0,B14*0.27,0)</f>
        <v/>
      </c>
      <c r="C15" s="6">
        <f>IF(C14&gt;0,C14*0.27,0)</f>
        <v/>
      </c>
      <c r="D15" s="6">
        <f>IF(D14&gt;0,D14*0.27,0)</f>
        <v/>
      </c>
      <c r="E15" s="6">
        <f>IF(E14&gt;0,E14*0.27,0)</f>
        <v/>
      </c>
      <c r="F15" s="6">
        <f>IF(F14&gt;0,F14*0.27,0)</f>
        <v/>
      </c>
      <c r="G15" s="6">
        <f>IF(G14&gt;0,G14*0.27,0)</f>
        <v/>
      </c>
      <c r="H15" s="6">
        <f>IF(H14&gt;0,H14*0.27,0)</f>
        <v/>
      </c>
      <c r="I15" s="6">
        <f>IF(I14&gt;0,I14*0.27,0)</f>
        <v/>
      </c>
      <c r="J15" s="6">
        <f>IF(J14&gt;0,J14*0.27,0)</f>
        <v/>
      </c>
      <c r="K15" s="6">
        <f>IF(K14&gt;0,K14*0.27,0)</f>
        <v/>
      </c>
      <c r="L15" s="6">
        <f>IF(L14&gt;0,L14*0.27,0)</f>
        <v/>
      </c>
      <c r="M15" s="6">
        <f>IF(M14&gt;0,M14*0.27,0)</f>
        <v/>
      </c>
    </row>
    <row r="16">
      <c r="A16" s="7" t="inlineStr">
        <is>
          <t>Resultado Neto</t>
        </is>
      </c>
      <c r="B16" s="6">
        <f>B14-B15</f>
        <v/>
      </c>
      <c r="C16" s="6">
        <f>C14-C15</f>
        <v/>
      </c>
      <c r="D16" s="6">
        <f>D14-D15</f>
        <v/>
      </c>
      <c r="E16" s="6">
        <f>E14-E15</f>
        <v/>
      </c>
      <c r="F16" s="6">
        <f>F14-F15</f>
        <v/>
      </c>
      <c r="G16" s="6">
        <f>G14-G15</f>
        <v/>
      </c>
      <c r="H16" s="6">
        <f>H14-H15</f>
        <v/>
      </c>
      <c r="I16" s="6">
        <f>I14-I15</f>
        <v/>
      </c>
      <c r="J16" s="6">
        <f>J14-J15</f>
        <v/>
      </c>
      <c r="K16" s="6">
        <f>K14-K15</f>
        <v/>
      </c>
      <c r="L16" s="6">
        <f>L14-L15</f>
        <v/>
      </c>
      <c r="M16" s="6">
        <f>M14-M15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Flujo de Caja (directo simplificado)</t>
        </is>
      </c>
    </row>
    <row r="3">
      <c r="A3" s="2" t="n"/>
      <c r="B3" s="4" t="inlineStr">
        <is>
          <t>2026-01</t>
        </is>
      </c>
      <c r="C3" s="4" t="inlineStr">
        <is>
          <t>2026-02</t>
        </is>
      </c>
      <c r="D3" s="4" t="inlineStr">
        <is>
          <t>2026-03</t>
        </is>
      </c>
      <c r="E3" s="4" t="inlineStr">
        <is>
          <t>2026-04</t>
        </is>
      </c>
      <c r="F3" s="4" t="inlineStr">
        <is>
          <t>2026-05</t>
        </is>
      </c>
      <c r="G3" s="4" t="inlineStr">
        <is>
          <t>2026-06</t>
        </is>
      </c>
      <c r="H3" s="4" t="inlineStr">
        <is>
          <t>2026-07</t>
        </is>
      </c>
      <c r="I3" s="4" t="inlineStr">
        <is>
          <t>2026-08</t>
        </is>
      </c>
      <c r="J3" s="4" t="inlineStr">
        <is>
          <t>2026-09</t>
        </is>
      </c>
      <c r="K3" s="4" t="inlineStr">
        <is>
          <t>2026-10</t>
        </is>
      </c>
      <c r="L3" s="4" t="inlineStr">
        <is>
          <t>2026-11</t>
        </is>
      </c>
      <c r="M3" s="4" t="inlineStr">
        <is>
          <t>2026-12</t>
        </is>
      </c>
    </row>
    <row r="4">
      <c r="A4" s="2" t="inlineStr">
        <is>
          <t>Cobros clientes (caja)</t>
        </is>
      </c>
      <c r="B4" s="6">
        <f>SUMIFS(Libro_Diario!$H:$H,Libro_Diario!$B:$B,"2026-01",Libro_Diario!$E:$E,"1101",Libro_Diario!$D:$D,"*Cobranza*")</f>
        <v/>
      </c>
      <c r="C4" s="6">
        <f>SUMIFS(Libro_Diario!$H:$H,Libro_Diario!$B:$B,"2026-02",Libro_Diario!$E:$E,"1101",Libro_Diario!$D:$D,"*Cobranza*")</f>
        <v/>
      </c>
      <c r="D4" s="6">
        <f>SUMIFS(Libro_Diario!$H:$H,Libro_Diario!$B:$B,"2026-03",Libro_Diario!$E:$E,"1101",Libro_Diario!$D:$D,"*Cobranza*")</f>
        <v/>
      </c>
      <c r="E4" s="6">
        <f>SUMIFS(Libro_Diario!$H:$H,Libro_Diario!$B:$B,"2026-04",Libro_Diario!$E:$E,"1101",Libro_Diario!$D:$D,"*Cobranza*")</f>
        <v/>
      </c>
      <c r="F4" s="6">
        <f>SUMIFS(Libro_Diario!$H:$H,Libro_Diario!$B:$B,"2026-05",Libro_Diario!$E:$E,"1101",Libro_Diario!$D:$D,"*Cobranza*")</f>
        <v/>
      </c>
      <c r="G4" s="6">
        <f>SUMIFS(Libro_Diario!$H:$H,Libro_Diario!$B:$B,"2026-06",Libro_Diario!$E:$E,"1101",Libro_Diario!$D:$D,"*Cobranza*")</f>
        <v/>
      </c>
      <c r="H4" s="6">
        <f>SUMIFS(Libro_Diario!$H:$H,Libro_Diario!$B:$B,"2026-07",Libro_Diario!$E:$E,"1101",Libro_Diario!$D:$D,"*Cobranza*")</f>
        <v/>
      </c>
      <c r="I4" s="6">
        <f>SUMIFS(Libro_Diario!$H:$H,Libro_Diario!$B:$B,"2026-08",Libro_Diario!$E:$E,"1101",Libro_Diario!$D:$D,"*Cobranza*")</f>
        <v/>
      </c>
      <c r="J4" s="6">
        <f>SUMIFS(Libro_Diario!$H:$H,Libro_Diario!$B:$B,"2026-09",Libro_Diario!$E:$E,"1101",Libro_Diario!$D:$D,"*Cobranza*")</f>
        <v/>
      </c>
      <c r="K4" s="6">
        <f>SUMIFS(Libro_Diario!$H:$H,Libro_Diario!$B:$B,"2026-10",Libro_Diario!$E:$E,"1101",Libro_Diario!$D:$D,"*Cobranza*")</f>
        <v/>
      </c>
      <c r="L4" s="6">
        <f>SUMIFS(Libro_Diario!$H:$H,Libro_Diario!$B:$B,"2026-11",Libro_Diario!$E:$E,"1101",Libro_Diario!$D:$D,"*Cobranza*")</f>
        <v/>
      </c>
      <c r="M4" s="6">
        <f>SUMIFS(Libro_Diario!$H:$H,Libro_Diario!$B:$B,"2026-12",Libro_Diario!$E:$E,"1101",Libro_Diario!$D:$D,"*Cobranza*")</f>
        <v/>
      </c>
    </row>
    <row r="5">
      <c r="A5" s="2" t="inlineStr">
        <is>
          <t>Pagos proveedores</t>
        </is>
      </c>
      <c r="B5" s="6">
        <f>SUMIFS(Libro_Diario!$H:$H,Libro_Diario!$B:$B,"2026-01",Libro_Diario!$E:$E,"2101")</f>
        <v/>
      </c>
      <c r="C5" s="6">
        <f>SUMIFS(Libro_Diario!$H:$H,Libro_Diario!$B:$B,"2026-02",Libro_Diario!$E:$E,"2101")</f>
        <v/>
      </c>
      <c r="D5" s="6">
        <f>SUMIFS(Libro_Diario!$H:$H,Libro_Diario!$B:$B,"2026-03",Libro_Diario!$E:$E,"2101")</f>
        <v/>
      </c>
      <c r="E5" s="6">
        <f>SUMIFS(Libro_Diario!$H:$H,Libro_Diario!$B:$B,"2026-04",Libro_Diario!$E:$E,"2101")</f>
        <v/>
      </c>
      <c r="F5" s="6">
        <f>SUMIFS(Libro_Diario!$H:$H,Libro_Diario!$B:$B,"2026-05",Libro_Diario!$E:$E,"2101")</f>
        <v/>
      </c>
      <c r="G5" s="6">
        <f>SUMIFS(Libro_Diario!$H:$H,Libro_Diario!$B:$B,"2026-06",Libro_Diario!$E:$E,"2101")</f>
        <v/>
      </c>
      <c r="H5" s="6">
        <f>SUMIFS(Libro_Diario!$H:$H,Libro_Diario!$B:$B,"2026-07",Libro_Diario!$E:$E,"2101")</f>
        <v/>
      </c>
      <c r="I5" s="6">
        <f>SUMIFS(Libro_Diario!$H:$H,Libro_Diario!$B:$B,"2026-08",Libro_Diario!$E:$E,"2101")</f>
        <v/>
      </c>
      <c r="J5" s="6">
        <f>SUMIFS(Libro_Diario!$H:$H,Libro_Diario!$B:$B,"2026-09",Libro_Diario!$E:$E,"2101")</f>
        <v/>
      </c>
      <c r="K5" s="6">
        <f>SUMIFS(Libro_Diario!$H:$H,Libro_Diario!$B:$B,"2026-10",Libro_Diario!$E:$E,"2101")</f>
        <v/>
      </c>
      <c r="L5" s="6">
        <f>SUMIFS(Libro_Diario!$H:$H,Libro_Diario!$B:$B,"2026-11",Libro_Diario!$E:$E,"2101")</f>
        <v/>
      </c>
      <c r="M5" s="6">
        <f>SUMIFS(Libro_Diario!$H:$H,Libro_Diario!$B:$B,"2026-12",Libro_Diario!$E:$E,"2101")</f>
        <v/>
      </c>
    </row>
    <row r="6">
      <c r="A6" s="2" t="inlineStr">
        <is>
          <t>Pagos remuneraciones</t>
        </is>
      </c>
      <c r="B6" s="6">
        <f>SUMIFS(Libro_Diario!$H:$H,Libro_Diario!$B:$B,"2026-01",Libro_Diario!$E:$E,"2201")</f>
        <v/>
      </c>
      <c r="C6" s="6">
        <f>SUMIFS(Libro_Diario!$H:$H,Libro_Diario!$B:$B,"2026-02",Libro_Diario!$E:$E,"2201")</f>
        <v/>
      </c>
      <c r="D6" s="6">
        <f>SUMIFS(Libro_Diario!$H:$H,Libro_Diario!$B:$B,"2026-03",Libro_Diario!$E:$E,"2201")</f>
        <v/>
      </c>
      <c r="E6" s="6">
        <f>SUMIFS(Libro_Diario!$H:$H,Libro_Diario!$B:$B,"2026-04",Libro_Diario!$E:$E,"2201")</f>
        <v/>
      </c>
      <c r="F6" s="6">
        <f>SUMIFS(Libro_Diario!$H:$H,Libro_Diario!$B:$B,"2026-05",Libro_Diario!$E:$E,"2201")</f>
        <v/>
      </c>
      <c r="G6" s="6">
        <f>SUMIFS(Libro_Diario!$H:$H,Libro_Diario!$B:$B,"2026-06",Libro_Diario!$E:$E,"2201")</f>
        <v/>
      </c>
      <c r="H6" s="6">
        <f>SUMIFS(Libro_Diario!$H:$H,Libro_Diario!$B:$B,"2026-07",Libro_Diario!$E:$E,"2201")</f>
        <v/>
      </c>
      <c r="I6" s="6">
        <f>SUMIFS(Libro_Diario!$H:$H,Libro_Diario!$B:$B,"2026-08",Libro_Diario!$E:$E,"2201")</f>
        <v/>
      </c>
      <c r="J6" s="6">
        <f>SUMIFS(Libro_Diario!$H:$H,Libro_Diario!$B:$B,"2026-09",Libro_Diario!$E:$E,"2201")</f>
        <v/>
      </c>
      <c r="K6" s="6">
        <f>SUMIFS(Libro_Diario!$H:$H,Libro_Diario!$B:$B,"2026-10",Libro_Diario!$E:$E,"2201")</f>
        <v/>
      </c>
      <c r="L6" s="6">
        <f>SUMIFS(Libro_Diario!$H:$H,Libro_Diario!$B:$B,"2026-11",Libro_Diario!$E:$E,"2201")</f>
        <v/>
      </c>
      <c r="M6" s="6">
        <f>SUMIFS(Libro_Diario!$H:$H,Libro_Diario!$B:$B,"2026-12",Libro_Diario!$E:$E,"2201")</f>
        <v/>
      </c>
    </row>
    <row r="7">
      <c r="A7" s="2" t="inlineStr">
        <is>
          <t>Otros cobros/pagos netos</t>
        </is>
      </c>
      <c r="B7" s="6">
        <f>SUMIFS(Libro_Diario!$K:$K,Libro_Diario!$B:$B,"2026-01",Libro_Diario!$E:$E,"1101")-B4+B5+B6</f>
        <v/>
      </c>
      <c r="C7" s="6">
        <f>SUMIFS(Libro_Diario!$K:$K,Libro_Diario!$B:$B,"2026-02",Libro_Diario!$E:$E,"1101")-C4+C5+C6</f>
        <v/>
      </c>
      <c r="D7" s="6">
        <f>SUMIFS(Libro_Diario!$K:$K,Libro_Diario!$B:$B,"2026-03",Libro_Diario!$E:$E,"1101")-D4+D5+D6</f>
        <v/>
      </c>
      <c r="E7" s="6">
        <f>SUMIFS(Libro_Diario!$K:$K,Libro_Diario!$B:$B,"2026-04",Libro_Diario!$E:$E,"1101")-E4+E5+E6</f>
        <v/>
      </c>
      <c r="F7" s="6">
        <f>SUMIFS(Libro_Diario!$K:$K,Libro_Diario!$B:$B,"2026-05",Libro_Diario!$E:$E,"1101")-F4+F5+F6</f>
        <v/>
      </c>
      <c r="G7" s="6">
        <f>SUMIFS(Libro_Diario!$K:$K,Libro_Diario!$B:$B,"2026-06",Libro_Diario!$E:$E,"1101")-G4+G5+G6</f>
        <v/>
      </c>
      <c r="H7" s="6">
        <f>SUMIFS(Libro_Diario!$K:$K,Libro_Diario!$B:$B,"2026-07",Libro_Diario!$E:$E,"1101")-H4+H5+H6</f>
        <v/>
      </c>
      <c r="I7" s="6">
        <f>SUMIFS(Libro_Diario!$K:$K,Libro_Diario!$B:$B,"2026-08",Libro_Diario!$E:$E,"1101")-I4+I5+I6</f>
        <v/>
      </c>
      <c r="J7" s="6">
        <f>SUMIFS(Libro_Diario!$K:$K,Libro_Diario!$B:$B,"2026-09",Libro_Diario!$E:$E,"1101")-J4+J5+J6</f>
        <v/>
      </c>
      <c r="K7" s="6">
        <f>SUMIFS(Libro_Diario!$K:$K,Libro_Diario!$B:$B,"2026-10",Libro_Diario!$E:$E,"1101")-K4+K5+K6</f>
        <v/>
      </c>
      <c r="L7" s="6">
        <f>SUMIFS(Libro_Diario!$K:$K,Libro_Diario!$B:$B,"2026-11",Libro_Diario!$E:$E,"1101")-L4+L5+L6</f>
        <v/>
      </c>
      <c r="M7" s="6">
        <f>SUMIFS(Libro_Diario!$K:$K,Libro_Diario!$B:$B,"2026-12",Libro_Diario!$E:$E,"1101")-M4+M5+M6</f>
        <v/>
      </c>
    </row>
    <row r="8">
      <c r="A8" s="2" t="inlineStr">
        <is>
          <t>Flujo Operacional</t>
        </is>
      </c>
      <c r="B8" s="6">
        <f>B4-B5-B6+B7</f>
        <v/>
      </c>
      <c r="C8" s="6">
        <f>C4-C5-C6+C7</f>
        <v/>
      </c>
      <c r="D8" s="6">
        <f>D4-D5-D6+D7</f>
        <v/>
      </c>
      <c r="E8" s="6">
        <f>E4-E5-E6+E7</f>
        <v/>
      </c>
      <c r="F8" s="6">
        <f>F4-F5-F6+F7</f>
        <v/>
      </c>
      <c r="G8" s="6">
        <f>G4-G5-G6+G7</f>
        <v/>
      </c>
      <c r="H8" s="6">
        <f>H4-H5-H6+H7</f>
        <v/>
      </c>
      <c r="I8" s="6">
        <f>I4-I5-I6+I7</f>
        <v/>
      </c>
      <c r="J8" s="6">
        <f>J4-J5-J6+J7</f>
        <v/>
      </c>
      <c r="K8" s="6">
        <f>K4-K5-K6+K7</f>
        <v/>
      </c>
      <c r="L8" s="6">
        <f>L4-L5-L6+L7</f>
        <v/>
      </c>
      <c r="M8" s="6">
        <f>M4-M5-M6+M7</f>
        <v/>
      </c>
    </row>
    <row r="9">
      <c r="A9" s="2" t="inlineStr">
        <is>
          <t>CAPEX pagado</t>
        </is>
      </c>
      <c r="B9" s="6" t="n">
        <v>0</v>
      </c>
      <c r="C9" s="6" t="n">
        <v>0</v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</row>
    <row r="10">
      <c r="A10" s="2" t="inlineStr">
        <is>
          <t>Flujo Neto</t>
        </is>
      </c>
      <c r="B10" s="6">
        <f>B8-B9</f>
        <v/>
      </c>
      <c r="C10" s="6">
        <f>C8-C9</f>
        <v/>
      </c>
      <c r="D10" s="6">
        <f>D8-D9</f>
        <v/>
      </c>
      <c r="E10" s="6">
        <f>E8-E9</f>
        <v/>
      </c>
      <c r="F10" s="6">
        <f>F8-F9</f>
        <v/>
      </c>
      <c r="G10" s="6">
        <f>G8-G9</f>
        <v/>
      </c>
      <c r="H10" s="6">
        <f>H8-H9</f>
        <v/>
      </c>
      <c r="I10" s="6">
        <f>I8-I9</f>
        <v/>
      </c>
      <c r="J10" s="6">
        <f>J8-J9</f>
        <v/>
      </c>
      <c r="K10" s="6">
        <f>K8-K9</f>
        <v/>
      </c>
      <c r="L10" s="6">
        <f>L8-L9</f>
        <v/>
      </c>
      <c r="M10" s="6">
        <f>M8-M9</f>
        <v/>
      </c>
    </row>
    <row r="11">
      <c r="A11" s="2" t="inlineStr">
        <is>
          <t>Saldo Inicial Caja</t>
        </is>
      </c>
      <c r="B11" s="6" t="n">
        <v>0</v>
      </c>
      <c r="C11" s="6">
        <f>B12</f>
        <v/>
      </c>
      <c r="D11" s="6">
        <f>C12</f>
        <v/>
      </c>
      <c r="E11" s="6">
        <f>D12</f>
        <v/>
      </c>
      <c r="F11" s="6">
        <f>E12</f>
        <v/>
      </c>
      <c r="G11" s="6">
        <f>F12</f>
        <v/>
      </c>
      <c r="H11" s="6">
        <f>G12</f>
        <v/>
      </c>
      <c r="I11" s="6">
        <f>H12</f>
        <v/>
      </c>
      <c r="J11" s="6">
        <f>I12</f>
        <v/>
      </c>
      <c r="K11" s="6">
        <f>J12</f>
        <v/>
      </c>
      <c r="L11" s="6">
        <f>K12</f>
        <v/>
      </c>
      <c r="M11" s="6">
        <f>L12</f>
        <v/>
      </c>
    </row>
    <row r="12">
      <c r="A12" s="2" t="inlineStr">
        <is>
          <t>Saldo Final Caja</t>
        </is>
      </c>
      <c r="B12" s="6">
        <f>B11+B10</f>
        <v/>
      </c>
      <c r="C12" s="6">
        <f>C11+C10</f>
        <v/>
      </c>
      <c r="D12" s="6">
        <f>D11+D10</f>
        <v/>
      </c>
      <c r="E12" s="6">
        <f>E11+E10</f>
        <v/>
      </c>
      <c r="F12" s="6">
        <f>F11+F10</f>
        <v/>
      </c>
      <c r="G12" s="6">
        <f>G11+G10</f>
        <v/>
      </c>
      <c r="H12" s="6">
        <f>H11+H10</f>
        <v/>
      </c>
      <c r="I12" s="6">
        <f>I11+I10</f>
        <v/>
      </c>
      <c r="J12" s="6">
        <f>J11+J10</f>
        <v/>
      </c>
      <c r="K12" s="6">
        <f>K11+K10</f>
        <v/>
      </c>
      <c r="L12" s="6">
        <f>L11+L10</f>
        <v/>
      </c>
      <c r="M12" s="6">
        <f>M11+M10</f>
        <v/>
      </c>
    </row>
    <row r="13">
      <c r="A13" s="2" t="inlineStr">
        <is>
          <t>Check vs Balance</t>
        </is>
      </c>
      <c r="B13" s="6">
        <f>B12-Balance!B4</f>
        <v/>
      </c>
      <c r="C13" s="6">
        <f>C12-Balance!C4</f>
        <v/>
      </c>
      <c r="D13" s="6">
        <f>D12-Balance!D4</f>
        <v/>
      </c>
      <c r="E13" s="6">
        <f>E12-Balance!E4</f>
        <v/>
      </c>
      <c r="F13" s="6">
        <f>F12-Balance!F4</f>
        <v/>
      </c>
      <c r="G13" s="6">
        <f>G12-Balance!G4</f>
        <v/>
      </c>
      <c r="H13" s="6">
        <f>H12-Balance!H4</f>
        <v/>
      </c>
      <c r="I13" s="6">
        <f>I12-Balance!I4</f>
        <v/>
      </c>
      <c r="J13" s="6">
        <f>J12-Balance!J4</f>
        <v/>
      </c>
      <c r="K13" s="6">
        <f>K12-Balance!K4</f>
        <v/>
      </c>
      <c r="L13" s="6">
        <f>L12-Balance!L4</f>
        <v/>
      </c>
      <c r="M13" s="6">
        <f>M12-Balance!M4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KPIs Corporativos (mensual)</t>
        </is>
      </c>
    </row>
    <row r="3">
      <c r="A3" s="2" t="n"/>
      <c r="B3" s="4" t="inlineStr">
        <is>
          <t>2026-01</t>
        </is>
      </c>
      <c r="C3" s="4" t="inlineStr">
        <is>
          <t>2026-02</t>
        </is>
      </c>
      <c r="D3" s="4" t="inlineStr">
        <is>
          <t>2026-03</t>
        </is>
      </c>
      <c r="E3" s="4" t="inlineStr">
        <is>
          <t>2026-04</t>
        </is>
      </c>
      <c r="F3" s="4" t="inlineStr">
        <is>
          <t>2026-05</t>
        </is>
      </c>
      <c r="G3" s="4" t="inlineStr">
        <is>
          <t>2026-06</t>
        </is>
      </c>
      <c r="H3" s="4" t="inlineStr">
        <is>
          <t>2026-07</t>
        </is>
      </c>
      <c r="I3" s="4" t="inlineStr">
        <is>
          <t>2026-08</t>
        </is>
      </c>
      <c r="J3" s="4" t="inlineStr">
        <is>
          <t>2026-09</t>
        </is>
      </c>
      <c r="K3" s="4" t="inlineStr">
        <is>
          <t>2026-10</t>
        </is>
      </c>
      <c r="L3" s="4" t="inlineStr">
        <is>
          <t>2026-11</t>
        </is>
      </c>
      <c r="M3" s="4" t="inlineStr">
        <is>
          <t>2026-12</t>
        </is>
      </c>
    </row>
    <row r="4">
      <c r="A4" s="2" t="inlineStr">
        <is>
          <t>Ventas</t>
        </is>
      </c>
      <c r="B4" s="6">
        <f>Resultados!B4</f>
        <v/>
      </c>
      <c r="C4" s="6">
        <f>Resultados!C4</f>
        <v/>
      </c>
      <c r="D4" s="6">
        <f>Resultados!D4</f>
        <v/>
      </c>
      <c r="E4" s="6">
        <f>Resultados!E4</f>
        <v/>
      </c>
      <c r="F4" s="6">
        <f>Resultados!F4</f>
        <v/>
      </c>
      <c r="G4" s="6">
        <f>Resultados!G4</f>
        <v/>
      </c>
      <c r="H4" s="6">
        <f>Resultados!H4</f>
        <v/>
      </c>
      <c r="I4" s="6">
        <f>Resultados!I4</f>
        <v/>
      </c>
      <c r="J4" s="6">
        <f>Resultados!J4</f>
        <v/>
      </c>
      <c r="K4" s="6">
        <f>Resultados!K4</f>
        <v/>
      </c>
      <c r="L4" s="6">
        <f>Resultados!L4</f>
        <v/>
      </c>
      <c r="M4" s="6">
        <f>Resultados!M4</f>
        <v/>
      </c>
    </row>
    <row r="5">
      <c r="A5" s="2" t="inlineStr">
        <is>
          <t>Margen Bruto %</t>
        </is>
      </c>
      <c r="B5" s="10">
        <f>IFERROR(Resultados!B6/Resultados!B4,0)</f>
        <v/>
      </c>
      <c r="C5" s="10">
        <f>IFERROR(Resultados!C6/Resultados!C4,0)</f>
        <v/>
      </c>
      <c r="D5" s="10">
        <f>IFERROR(Resultados!D6/Resultados!D4,0)</f>
        <v/>
      </c>
      <c r="E5" s="10">
        <f>IFERROR(Resultados!E6/Resultados!E4,0)</f>
        <v/>
      </c>
      <c r="F5" s="10">
        <f>IFERROR(Resultados!F6/Resultados!F4,0)</f>
        <v/>
      </c>
      <c r="G5" s="10">
        <f>IFERROR(Resultados!G6/Resultados!G4,0)</f>
        <v/>
      </c>
      <c r="H5" s="10">
        <f>IFERROR(Resultados!H6/Resultados!H4,0)</f>
        <v/>
      </c>
      <c r="I5" s="10">
        <f>IFERROR(Resultados!I6/Resultados!I4,0)</f>
        <v/>
      </c>
      <c r="J5" s="10">
        <f>IFERROR(Resultados!J6/Resultados!J4,0)</f>
        <v/>
      </c>
      <c r="K5" s="10">
        <f>IFERROR(Resultados!K6/Resultados!K4,0)</f>
        <v/>
      </c>
      <c r="L5" s="10">
        <f>IFERROR(Resultados!L6/Resultados!L4,0)</f>
        <v/>
      </c>
      <c r="M5" s="10">
        <f>IFERROR(Resultados!M6/Resultados!M4,0)</f>
        <v/>
      </c>
    </row>
    <row r="6">
      <c r="A6" s="2" t="inlineStr">
        <is>
          <t>Margen EBITDA %</t>
        </is>
      </c>
      <c r="B6" s="10">
        <f>IFERROR(Resultados!B12/Resultados!B4,0)</f>
        <v/>
      </c>
      <c r="C6" s="10">
        <f>IFERROR(Resultados!C12/Resultados!C4,0)</f>
        <v/>
      </c>
      <c r="D6" s="10">
        <f>IFERROR(Resultados!D12/Resultados!D4,0)</f>
        <v/>
      </c>
      <c r="E6" s="10">
        <f>IFERROR(Resultados!E12/Resultados!E4,0)</f>
        <v/>
      </c>
      <c r="F6" s="10">
        <f>IFERROR(Resultados!F12/Resultados!F4,0)</f>
        <v/>
      </c>
      <c r="G6" s="10">
        <f>IFERROR(Resultados!G12/Resultados!G4,0)</f>
        <v/>
      </c>
      <c r="H6" s="10">
        <f>IFERROR(Resultados!H12/Resultados!H4,0)</f>
        <v/>
      </c>
      <c r="I6" s="10">
        <f>IFERROR(Resultados!I12/Resultados!I4,0)</f>
        <v/>
      </c>
      <c r="J6" s="10">
        <f>IFERROR(Resultados!J12/Resultados!J4,0)</f>
        <v/>
      </c>
      <c r="K6" s="10">
        <f>IFERROR(Resultados!K12/Resultados!K4,0)</f>
        <v/>
      </c>
      <c r="L6" s="10">
        <f>IFERROR(Resultados!L12/Resultados!L4,0)</f>
        <v/>
      </c>
      <c r="M6" s="10">
        <f>IFERROR(Resultados!M12/Resultados!M4,0)</f>
        <v/>
      </c>
    </row>
    <row r="7">
      <c r="A7" s="2" t="inlineStr">
        <is>
          <t>Resultado Neto</t>
        </is>
      </c>
      <c r="B7" s="6">
        <f>Resultados!B16</f>
        <v/>
      </c>
      <c r="C7" s="6">
        <f>Resultados!C16</f>
        <v/>
      </c>
      <c r="D7" s="6">
        <f>Resultados!D16</f>
        <v/>
      </c>
      <c r="E7" s="6">
        <f>Resultados!E16</f>
        <v/>
      </c>
      <c r="F7" s="6">
        <f>Resultados!F16</f>
        <v/>
      </c>
      <c r="G7" s="6">
        <f>Resultados!G16</f>
        <v/>
      </c>
      <c r="H7" s="6">
        <f>Resultados!H16</f>
        <v/>
      </c>
      <c r="I7" s="6">
        <f>Resultados!I16</f>
        <v/>
      </c>
      <c r="J7" s="6">
        <f>Resultados!J16</f>
        <v/>
      </c>
      <c r="K7" s="6">
        <f>Resultados!K16</f>
        <v/>
      </c>
      <c r="L7" s="6">
        <f>Resultados!L16</f>
        <v/>
      </c>
      <c r="M7" s="6">
        <f>Resultados!M16</f>
        <v/>
      </c>
    </row>
    <row r="8">
      <c r="A8" s="2" t="inlineStr">
        <is>
          <t>Caja Final</t>
        </is>
      </c>
      <c r="B8" s="6">
        <f>Balance!B4</f>
        <v/>
      </c>
      <c r="C8" s="6">
        <f>Balance!C4</f>
        <v/>
      </c>
      <c r="D8" s="6">
        <f>Balance!D4</f>
        <v/>
      </c>
      <c r="E8" s="6">
        <f>Balance!E4</f>
        <v/>
      </c>
      <c r="F8" s="6">
        <f>Balance!F4</f>
        <v/>
      </c>
      <c r="G8" s="6">
        <f>Balance!G4</f>
        <v/>
      </c>
      <c r="H8" s="6">
        <f>Balance!H4</f>
        <v/>
      </c>
      <c r="I8" s="6">
        <f>Balance!I4</f>
        <v/>
      </c>
      <c r="J8" s="6">
        <f>Balance!J4</f>
        <v/>
      </c>
      <c r="K8" s="6">
        <f>Balance!K4</f>
        <v/>
      </c>
      <c r="L8" s="6">
        <f>Balance!L4</f>
        <v/>
      </c>
      <c r="M8" s="6">
        <f>Balance!M4</f>
        <v/>
      </c>
    </row>
    <row r="9">
      <c r="A9" s="2" t="inlineStr">
        <is>
          <t>CxC</t>
        </is>
      </c>
      <c r="B9" s="6">
        <f>Balance!B5</f>
        <v/>
      </c>
      <c r="C9" s="6">
        <f>Balance!C5</f>
        <v/>
      </c>
      <c r="D9" s="6">
        <f>Balance!D5</f>
        <v/>
      </c>
      <c r="E9" s="6">
        <f>Balance!E5</f>
        <v/>
      </c>
      <c r="F9" s="6">
        <f>Balance!F5</f>
        <v/>
      </c>
      <c r="G9" s="6">
        <f>Balance!G5</f>
        <v/>
      </c>
      <c r="H9" s="6">
        <f>Balance!H5</f>
        <v/>
      </c>
      <c r="I9" s="6">
        <f>Balance!I5</f>
        <v/>
      </c>
      <c r="J9" s="6">
        <f>Balance!J5</f>
        <v/>
      </c>
      <c r="K9" s="6">
        <f>Balance!K5</f>
        <v/>
      </c>
      <c r="L9" s="6">
        <f>Balance!L5</f>
        <v/>
      </c>
      <c r="M9" s="6">
        <f>Balance!M5</f>
        <v/>
      </c>
    </row>
    <row r="10">
      <c r="A10" s="2" t="inlineStr">
        <is>
          <t>CxP</t>
        </is>
      </c>
      <c r="B10" s="6">
        <f>Balance!B10</f>
        <v/>
      </c>
      <c r="C10" s="6">
        <f>Balance!C10</f>
        <v/>
      </c>
      <c r="D10" s="6">
        <f>Balance!D10</f>
        <v/>
      </c>
      <c r="E10" s="6">
        <f>Balance!E10</f>
        <v/>
      </c>
      <c r="F10" s="6">
        <f>Balance!F10</f>
        <v/>
      </c>
      <c r="G10" s="6">
        <f>Balance!G10</f>
        <v/>
      </c>
      <c r="H10" s="6">
        <f>Balance!H10</f>
        <v/>
      </c>
      <c r="I10" s="6">
        <f>Balance!I10</f>
        <v/>
      </c>
      <c r="J10" s="6">
        <f>Balance!J10</f>
        <v/>
      </c>
      <c r="K10" s="6">
        <f>Balance!K10</f>
        <v/>
      </c>
      <c r="L10" s="6">
        <f>Balance!L10</f>
        <v/>
      </c>
      <c r="M10" s="6">
        <f>Balance!M10</f>
        <v/>
      </c>
    </row>
    <row r="11">
      <c r="A11" s="2" t="inlineStr">
        <is>
          <t>DSO</t>
        </is>
      </c>
      <c r="B11" s="11">
        <f>IFERROR((B9/Resultados!B4)*30,0)</f>
        <v/>
      </c>
      <c r="C11" s="11">
        <f>IFERROR((C9/Resultados!C4)*30,0)</f>
        <v/>
      </c>
      <c r="D11" s="11">
        <f>IFERROR((D9/Resultados!D4)*30,0)</f>
        <v/>
      </c>
      <c r="E11" s="11">
        <f>IFERROR((E9/Resultados!E4)*30,0)</f>
        <v/>
      </c>
      <c r="F11" s="11">
        <f>IFERROR((F9/Resultados!F4)*30,0)</f>
        <v/>
      </c>
      <c r="G11" s="11">
        <f>IFERROR((G9/Resultados!G4)*30,0)</f>
        <v/>
      </c>
      <c r="H11" s="11">
        <f>IFERROR((H9/Resultados!H4)*30,0)</f>
        <v/>
      </c>
      <c r="I11" s="11">
        <f>IFERROR((I9/Resultados!I4)*30,0)</f>
        <v/>
      </c>
      <c r="J11" s="11">
        <f>IFERROR((J9/Resultados!J4)*30,0)</f>
        <v/>
      </c>
      <c r="K11" s="11">
        <f>IFERROR((K9/Resultados!K4)*30,0)</f>
        <v/>
      </c>
      <c r="L11" s="11">
        <f>IFERROR((L9/Resultados!L4)*30,0)</f>
        <v/>
      </c>
      <c r="M11" s="11">
        <f>IFERROR((M9/Resultados!M4)*30,0)</f>
        <v/>
      </c>
    </row>
    <row r="12">
      <c r="A12" s="2" t="inlineStr">
        <is>
          <t>DPO</t>
        </is>
      </c>
      <c r="B12" s="11">
        <f>IFERROR((B10/Resultados!B5)*30,0)</f>
        <v/>
      </c>
      <c r="C12" s="11">
        <f>IFERROR((C10/Resultados!C5)*30,0)</f>
        <v/>
      </c>
      <c r="D12" s="11">
        <f>IFERROR((D10/Resultados!D5)*30,0)</f>
        <v/>
      </c>
      <c r="E12" s="11">
        <f>IFERROR((E10/Resultados!E5)*30,0)</f>
        <v/>
      </c>
      <c r="F12" s="11">
        <f>IFERROR((F10/Resultados!F5)*30,0)</f>
        <v/>
      </c>
      <c r="G12" s="11">
        <f>IFERROR((G10/Resultados!G5)*30,0)</f>
        <v/>
      </c>
      <c r="H12" s="11">
        <f>IFERROR((H10/Resultados!H5)*30,0)</f>
        <v/>
      </c>
      <c r="I12" s="11">
        <f>IFERROR((I10/Resultados!I5)*30,0)</f>
        <v/>
      </c>
      <c r="J12" s="11">
        <f>IFERROR((J10/Resultados!J5)*30,0)</f>
        <v/>
      </c>
      <c r="K12" s="11">
        <f>IFERROR((K10/Resultados!K5)*30,0)</f>
        <v/>
      </c>
      <c r="L12" s="11">
        <f>IFERROR((L10/Resultados!L5)*30,0)</f>
        <v/>
      </c>
      <c r="M12" s="11">
        <f>IFERROR((M10/Resultados!M5)*30,0)</f>
        <v/>
      </c>
    </row>
    <row r="13">
      <c r="A13" s="2" t="inlineStr">
        <is>
          <t>Razón Corriente</t>
        </is>
      </c>
      <c r="B13" s="11">
        <f>IFERROR((Balance!B4+Balance!B5+Balance!B6)/(Balance!B10+Balance!B11+Balance!B12),0)</f>
        <v/>
      </c>
      <c r="C13" s="11">
        <f>IFERROR((Balance!C4+Balance!C5+Balance!C6)/(Balance!C10+Balance!C11+Balance!C12),0)</f>
        <v/>
      </c>
      <c r="D13" s="11">
        <f>IFERROR((Balance!D4+Balance!D5+Balance!D6)/(Balance!D10+Balance!D11+Balance!D12),0)</f>
        <v/>
      </c>
      <c r="E13" s="11">
        <f>IFERROR((Balance!E4+Balance!E5+Balance!E6)/(Balance!E10+Balance!E11+Balance!E12),0)</f>
        <v/>
      </c>
      <c r="F13" s="11">
        <f>IFERROR((Balance!F4+Balance!F5+Balance!F6)/(Balance!F10+Balance!F11+Balance!F12),0)</f>
        <v/>
      </c>
      <c r="G13" s="11">
        <f>IFERROR((Balance!G4+Balance!G5+Balance!G6)/(Balance!G10+Balance!G11+Balance!G12),0)</f>
        <v/>
      </c>
      <c r="H13" s="11">
        <f>IFERROR((Balance!H4+Balance!H5+Balance!H6)/(Balance!H10+Balance!H11+Balance!H12),0)</f>
        <v/>
      </c>
      <c r="I13" s="11">
        <f>IFERROR((Balance!I4+Balance!I5+Balance!I6)/(Balance!I10+Balance!I11+Balance!I12),0)</f>
        <v/>
      </c>
      <c r="J13" s="11">
        <f>IFERROR((Balance!J4+Balance!J5+Balance!J6)/(Balance!J10+Balance!J11+Balance!J12),0)</f>
        <v/>
      </c>
      <c r="K13" s="11">
        <f>IFERROR((Balance!K4+Balance!K5+Balance!K6)/(Balance!K10+Balance!K11+Balance!K12),0)</f>
        <v/>
      </c>
      <c r="L13" s="11">
        <f>IFERROR((Balance!L4+Balance!L5+Balance!L6)/(Balance!L10+Balance!L11+Balance!L12),0)</f>
        <v/>
      </c>
      <c r="M13" s="11">
        <f>IFERROR((Balance!M4+Balance!M5+Balance!M6)/(Balance!M10+Balance!M11+Balance!M12),0)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2" t="inlineStr">
        <is>
          <t>Vista Gerencial FP&amp;A Corporativo</t>
        </is>
      </c>
    </row>
    <row r="3">
      <c r="A3" s="13" t="inlineStr">
        <is>
          <t>Ventas mes actual</t>
        </is>
      </c>
      <c r="B3" s="18" t="n"/>
      <c r="C3" s="13" t="inlineStr">
        <is>
          <t>Margen EBITDA</t>
        </is>
      </c>
      <c r="D3" s="18" t="n"/>
      <c r="E3" s="13" t="inlineStr">
        <is>
          <t>Caja Final</t>
        </is>
      </c>
      <c r="F3" s="18" t="n"/>
      <c r="G3" s="13" t="inlineStr">
        <is>
          <t>DSO</t>
        </is>
      </c>
      <c r="H3" s="18" t="n"/>
    </row>
    <row r="4">
      <c r="A4" s="15">
        <f>KPIs!M4</f>
        <v/>
      </c>
      <c r="B4" s="19" t="n"/>
      <c r="C4" s="16">
        <f>KPIs!M6</f>
        <v/>
      </c>
      <c r="D4" s="19" t="n"/>
      <c r="E4" s="15">
        <f>KPIs!M8</f>
        <v/>
      </c>
      <c r="F4" s="19" t="n"/>
      <c r="G4" s="17">
        <f>KPIs!M11</f>
        <v/>
      </c>
      <c r="H4" s="19" t="n"/>
    </row>
    <row r="5">
      <c r="A5" s="20" t="n"/>
      <c r="B5" s="21" t="n"/>
      <c r="C5" s="20" t="n"/>
      <c r="D5" s="21" t="n"/>
      <c r="E5" s="20" t="n"/>
      <c r="F5" s="21" t="n"/>
      <c r="G5" s="20" t="n"/>
      <c r="H5" s="21" t="n"/>
    </row>
    <row r="8">
      <c r="A8" s="4" t="inlineStr">
        <is>
          <t>Mes</t>
        </is>
      </c>
      <c r="B8" s="4" t="inlineStr">
        <is>
          <t>Ventas</t>
        </is>
      </c>
      <c r="C8" s="4" t="inlineStr">
        <is>
          <t>EBITDA %</t>
        </is>
      </c>
      <c r="D8" s="4" t="inlineStr">
        <is>
          <t>Resultado Neto</t>
        </is>
      </c>
      <c r="E8" s="4" t="inlineStr">
        <is>
          <t>Caja Final</t>
        </is>
      </c>
    </row>
    <row r="9">
      <c r="A9" s="2" t="inlineStr">
        <is>
          <t>2026-01</t>
        </is>
      </c>
      <c r="B9" s="2">
        <f>KPIs!C4</f>
        <v/>
      </c>
      <c r="C9" s="2">
        <f>KPIs!C6</f>
        <v/>
      </c>
      <c r="D9" s="2">
        <f>KPIs!C7</f>
        <v/>
      </c>
      <c r="E9" s="2">
        <f>KPIs!C8</f>
        <v/>
      </c>
    </row>
    <row r="10">
      <c r="A10" s="2" t="inlineStr">
        <is>
          <t>2026-02</t>
        </is>
      </c>
      <c r="B10" s="2">
        <f>KPIs!D4</f>
        <v/>
      </c>
      <c r="C10" s="2">
        <f>KPIs!D6</f>
        <v/>
      </c>
      <c r="D10" s="2">
        <f>KPIs!D7</f>
        <v/>
      </c>
      <c r="E10" s="2">
        <f>KPIs!D8</f>
        <v/>
      </c>
    </row>
    <row r="11">
      <c r="A11" s="2" t="inlineStr">
        <is>
          <t>2026-03</t>
        </is>
      </c>
      <c r="B11" s="2">
        <f>KPIs!E4</f>
        <v/>
      </c>
      <c r="C11" s="2">
        <f>KPIs!E6</f>
        <v/>
      </c>
      <c r="D11" s="2">
        <f>KPIs!E7</f>
        <v/>
      </c>
      <c r="E11" s="2">
        <f>KPIs!E8</f>
        <v/>
      </c>
    </row>
    <row r="12">
      <c r="A12" s="2" t="inlineStr">
        <is>
          <t>2026-04</t>
        </is>
      </c>
      <c r="B12" s="2">
        <f>KPIs!F4</f>
        <v/>
      </c>
      <c r="C12" s="2">
        <f>KPIs!F6</f>
        <v/>
      </c>
      <c r="D12" s="2">
        <f>KPIs!F7</f>
        <v/>
      </c>
      <c r="E12" s="2">
        <f>KPIs!F8</f>
        <v/>
      </c>
    </row>
    <row r="13">
      <c r="A13" s="2" t="inlineStr">
        <is>
          <t>2026-05</t>
        </is>
      </c>
      <c r="B13" s="2">
        <f>KPIs!G4</f>
        <v/>
      </c>
      <c r="C13" s="2">
        <f>KPIs!G6</f>
        <v/>
      </c>
      <c r="D13" s="2">
        <f>KPIs!G7</f>
        <v/>
      </c>
      <c r="E13" s="2">
        <f>KPIs!G8</f>
        <v/>
      </c>
    </row>
    <row r="14">
      <c r="A14" s="2" t="inlineStr">
        <is>
          <t>2026-06</t>
        </is>
      </c>
      <c r="B14" s="2">
        <f>KPIs!H4</f>
        <v/>
      </c>
      <c r="C14" s="2">
        <f>KPIs!H6</f>
        <v/>
      </c>
      <c r="D14" s="2">
        <f>KPIs!H7</f>
        <v/>
      </c>
      <c r="E14" s="2">
        <f>KPIs!H8</f>
        <v/>
      </c>
    </row>
    <row r="15">
      <c r="A15" s="2" t="inlineStr">
        <is>
          <t>2026-07</t>
        </is>
      </c>
      <c r="B15" s="2">
        <f>KPIs!I4</f>
        <v/>
      </c>
      <c r="C15" s="2">
        <f>KPIs!I6</f>
        <v/>
      </c>
      <c r="D15" s="2">
        <f>KPIs!I7</f>
        <v/>
      </c>
      <c r="E15" s="2">
        <f>KPIs!I8</f>
        <v/>
      </c>
    </row>
    <row r="16">
      <c r="A16" s="2" t="inlineStr">
        <is>
          <t>2026-08</t>
        </is>
      </c>
      <c r="B16" s="2">
        <f>KPIs!J4</f>
        <v/>
      </c>
      <c r="C16" s="2">
        <f>KPIs!J6</f>
        <v/>
      </c>
      <c r="D16" s="2">
        <f>KPIs!J7</f>
        <v/>
      </c>
      <c r="E16" s="2">
        <f>KPIs!J8</f>
        <v/>
      </c>
    </row>
    <row r="17">
      <c r="A17" s="2" t="inlineStr">
        <is>
          <t>2026-09</t>
        </is>
      </c>
      <c r="B17" s="2">
        <f>KPIs!K4</f>
        <v/>
      </c>
      <c r="C17" s="2">
        <f>KPIs!K6</f>
        <v/>
      </c>
      <c r="D17" s="2">
        <f>KPIs!K7</f>
        <v/>
      </c>
      <c r="E17" s="2">
        <f>KPIs!K8</f>
        <v/>
      </c>
    </row>
    <row r="18">
      <c r="A18" s="2" t="inlineStr">
        <is>
          <t>2026-10</t>
        </is>
      </c>
      <c r="B18" s="2">
        <f>KPIs!L4</f>
        <v/>
      </c>
      <c r="C18" s="2">
        <f>KPIs!L6</f>
        <v/>
      </c>
      <c r="D18" s="2">
        <f>KPIs!L7</f>
        <v/>
      </c>
      <c r="E18" s="2">
        <f>KPIs!L8</f>
        <v/>
      </c>
    </row>
    <row r="19">
      <c r="A19" s="2" t="inlineStr">
        <is>
          <t>2026-11</t>
        </is>
      </c>
      <c r="B19" s="2">
        <f>KPIs!M4</f>
        <v/>
      </c>
      <c r="C19" s="2">
        <f>KPIs!M6</f>
        <v/>
      </c>
      <c r="D19" s="2">
        <f>KPIs!M7</f>
        <v/>
      </c>
      <c r="E19" s="2">
        <f>KPIs!M8</f>
        <v/>
      </c>
    </row>
    <row r="20">
      <c r="A20" s="2" t="inlineStr">
        <is>
          <t>2026-12</t>
        </is>
      </c>
      <c r="B20" s="2">
        <f>KPIs!N4</f>
        <v/>
      </c>
      <c r="C20" s="2">
        <f>KPIs!N6</f>
        <v/>
      </c>
      <c r="D20" s="2">
        <f>KPIs!N7</f>
        <v/>
      </c>
      <c r="E20" s="2">
        <f>KPIs!N8</f>
        <v/>
      </c>
    </row>
  </sheetData>
  <mergeCells count="8">
    <mergeCell ref="C4:D5"/>
    <mergeCell ref="A4:B5"/>
    <mergeCell ref="G4:H5"/>
    <mergeCell ref="E4:F5"/>
    <mergeCell ref="C3:D3"/>
    <mergeCell ref="A3:B3"/>
    <mergeCell ref="G3:H3"/>
    <mergeCell ref="E3:F3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8" customWidth="1" min="2" max="2"/>
  </cols>
  <sheetData>
    <row r="1">
      <c r="A1" s="1" t="inlineStr">
        <is>
          <t>Controles de Calidad</t>
        </is>
      </c>
    </row>
    <row r="3">
      <c r="A3" s="2" t="inlineStr">
        <is>
          <t>Libro Diario cuadra (Debe-Haber)</t>
        </is>
      </c>
      <c r="B3" s="6">
        <f>SUM(Libro_Diario!H:H)-SUM(Libro_Diario!I:I)</f>
        <v/>
      </c>
    </row>
    <row r="4">
      <c r="A4" s="2" t="inlineStr">
        <is>
          <t>Balance check Dic</t>
        </is>
      </c>
      <c r="B4" s="6">
        <f>Balance!M19</f>
        <v/>
      </c>
    </row>
    <row r="5">
      <c r="A5" s="2" t="inlineStr">
        <is>
          <t>Flujo caja vs balance Dic</t>
        </is>
      </c>
      <c r="B5" s="6">
        <f>Flujo_Caja!M13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2026-02-23T16:49:37Z</dcterms:created>
  <dcterms:modified xmlns:dcterms="http://purl.org/dc/terms/" xmlns:xsi="http://www.w3.org/2001/XMLSchema-instance" xsi:type="dcterms:W3CDTF">2026-02-23T16:50:06Z</dcterms:modified>
</cp:coreProperties>
</file>
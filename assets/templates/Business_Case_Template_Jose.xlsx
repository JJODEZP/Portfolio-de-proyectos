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BS" sheetId="5" state="visible" r:id="rId5"/>
    <sheet xmlns:r="http://schemas.openxmlformats.org/officeDocument/2006/relationships" name="KPIs" sheetId="6" state="visible" r:id="rId6"/>
    <sheet xmlns:r="http://schemas.openxmlformats.org/officeDocument/2006/relationships" name="Business_Case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_);[Red]($#,##0);-"/>
    <numFmt numFmtId="166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color rgb="000000FF"/>
    </font>
    <font>
      <b val="1"/>
    </font>
    <font/>
    <font>
      <b val="1"/>
      <sz val="15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2" fillId="2" borderId="1" pivotButton="0" quotePrefix="0" xfId="0"/>
    <xf numFmtId="1" fontId="2" fillId="2" borderId="1" pivotButton="0" quotePrefix="0" xfId="0"/>
    <xf numFmtId="165" fontId="2" fillId="2" borderId="1" pivotButton="0" quotePrefix="0" xfId="0"/>
    <xf numFmtId="0" fontId="3" fillId="3" borderId="1" pivotButton="0" quotePrefix="0" xfId="0"/>
    <xf numFmtId="0" fontId="4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5" fillId="0" borderId="0" pivotButton="0" quotePrefix="0" xfId="0"/>
    <xf numFmtId="166" fontId="0" fillId="0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por Año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'Business_Case'!$D$4:$D$9</f>
            </numRef>
          </cat>
          <val>
            <numRef>
              <f>'Business_Case'!$E$4:$E$9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clave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'Dashboard'!$A$9:$A$13</f>
            </numRef>
          </cat>
          <val>
            <numRef>
              <f>'Dashboard'!$B$9:$B$13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'Dashboard'!$A$9:$A$13</f>
            </numRef>
          </cat>
          <val>
            <numRef>
              <f>'Dashboard'!$C$9:$C$13</f>
            </numRef>
          </val>
        </ser>
        <ser>
          <idx val="2"/>
          <order val="2"/>
          <tx>
            <strRef>
              <f>'Dashboard'!D8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'Dashboard'!$A$9:$A$13</f>
            </numRef>
          </cat>
          <val>
            <numRef>
              <f>'Dashboard'!$D$9:$D$13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8" authorId="0" shapeId="0">
      <text>
        <t>Supuesto de descuento / costo de capital. Fuente sugerida: política financiera interna / benchmark.</t>
      </text>
    </comment>
    <comment ref="B9" authorId="0" shapeId="0">
      <text>
        <t>Tasa de impuesto corporativo. Ajustar a país y régimen tributario.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Business Case + Estados Financieros Proyectados (Incrementales)</t>
        </is>
      </c>
    </row>
    <row r="3">
      <c r="A3" t="inlineStr">
        <is>
          <t>Objetivo: evaluar una iniciativa/proyecto con impacto financiero y vista gerencial.</t>
        </is>
      </c>
    </row>
    <row r="4">
      <c r="A4" t="inlineStr">
        <is>
          <t>Flujo recomendado: Inputs → IS/CF/BS → KPIs → Business_Case → Dashboard.</t>
        </is>
      </c>
    </row>
    <row r="5">
      <c r="A5" t="inlineStr">
        <is>
          <t>Editar solo celdas amarillas en Inputs.</t>
        </is>
      </c>
    </row>
    <row r="6">
      <c r="A6" t="inlineStr">
        <is>
          <t>Modelo simplificado y adaptable; no reemplaza modelo contable/ERP.</t>
        </is>
      </c>
    </row>
    <row r="8">
      <c r="A8" t="inlineStr">
        <is>
          <t>Preparado para portfolio / entrevistas (anonimizable).</t>
        </is>
      </c>
    </row>
    <row r="9">
      <c r="A9" t="inlineStr">
        <is>
          <t>Usuario: José Joaquín Ortiz de Zevallos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Business Case Template (Proyecto / Iniciativa)</t>
        </is>
      </c>
    </row>
    <row r="3">
      <c r="A3" s="2" t="inlineStr">
        <is>
          <t>Escenario</t>
        </is>
      </c>
      <c r="B3" s="2" t="inlineStr">
        <is>
          <t>Base</t>
        </is>
      </c>
      <c r="D3" t="inlineStr">
        <is>
          <t>Notas</t>
        </is>
      </c>
    </row>
    <row r="4">
      <c r="A4" s="2" t="inlineStr">
        <is>
          <t>Moneda</t>
        </is>
      </c>
      <c r="B4" s="2" t="inlineStr">
        <is>
          <t>CLP</t>
        </is>
      </c>
      <c r="D4" t="inlineStr">
        <is>
          <t>Editar celdas amarillas (inputs).</t>
        </is>
      </c>
    </row>
    <row r="5">
      <c r="A5" s="2" t="inlineStr">
        <is>
          <t>Año inicio</t>
        </is>
      </c>
      <c r="B5" s="2" t="n">
        <v>2026</v>
      </c>
      <c r="D5" t="inlineStr">
        <is>
          <t>Modelo simplificado para evaluación financiera.</t>
        </is>
      </c>
    </row>
    <row r="6">
      <c r="A6" s="2" t="n"/>
      <c r="B6" s="2" t="n"/>
      <c r="D6" t="inlineStr">
        <is>
          <t>Se puede adaptar a producto, automatización, canal comercial, etc.</t>
        </is>
      </c>
    </row>
    <row r="7">
      <c r="A7" s="2" t="n"/>
      <c r="B7" s="2" t="n"/>
    </row>
    <row r="8">
      <c r="A8" s="2" t="inlineStr">
        <is>
          <t>WACC</t>
        </is>
      </c>
      <c r="B8" s="3" t="n">
        <v>0.12</v>
      </c>
    </row>
    <row r="9">
      <c r="A9" s="2" t="inlineStr">
        <is>
          <t>Tasa de impuesto</t>
        </is>
      </c>
      <c r="B9" s="3" t="n">
        <v>0.27</v>
      </c>
    </row>
    <row r="10">
      <c r="A10" s="2" t="inlineStr">
        <is>
          <t>Inflación costos</t>
        </is>
      </c>
      <c r="B10" s="3" t="n">
        <v>0.04</v>
      </c>
    </row>
    <row r="11">
      <c r="A11" s="2" t="inlineStr">
        <is>
          <t>Horizonte (años)</t>
        </is>
      </c>
      <c r="B11" s="4" t="n">
        <v>5</v>
      </c>
    </row>
    <row r="12">
      <c r="A12" s="2" t="inlineStr">
        <is>
          <t>Ingresos Año 1</t>
        </is>
      </c>
      <c r="B12" s="5" t="n">
        <v>600000000</v>
      </c>
    </row>
    <row r="13">
      <c r="A13" s="2" t="inlineStr">
        <is>
          <t>Crecimiento ingresos Y2-Y5</t>
        </is>
      </c>
      <c r="B13" s="3" t="n">
        <v>0.15</v>
      </c>
    </row>
    <row r="14">
      <c r="A14" s="2" t="inlineStr">
        <is>
          <t>Margen bruto %</t>
        </is>
      </c>
      <c r="B14" s="3" t="n">
        <v>0.55</v>
      </c>
    </row>
    <row r="15">
      <c r="A15" s="2" t="inlineStr">
        <is>
          <t>Opex fijo Año 1</t>
        </is>
      </c>
      <c r="B15" s="5" t="n">
        <v>180000000</v>
      </c>
    </row>
    <row r="16">
      <c r="A16" s="2" t="inlineStr">
        <is>
          <t>Opex variable % ingresos</t>
        </is>
      </c>
      <c r="B16" s="3" t="n">
        <v>0.12</v>
      </c>
    </row>
    <row r="17">
      <c r="A17" s="2" t="inlineStr">
        <is>
          <t>CAPEX inicial (Año 0)</t>
        </is>
      </c>
      <c r="B17" s="5" t="n">
        <v>120000000</v>
      </c>
    </row>
    <row r="18">
      <c r="A18" s="2" t="inlineStr">
        <is>
          <t>CAPEX mantenimiento % ingresos</t>
        </is>
      </c>
      <c r="B18" s="3" t="n">
        <v>0.03</v>
      </c>
    </row>
    <row r="19">
      <c r="A19" s="2" t="inlineStr">
        <is>
          <t>Depreciación vida útil (años)</t>
        </is>
      </c>
      <c r="B19" s="4" t="n">
        <v>4</v>
      </c>
    </row>
    <row r="20">
      <c r="A20" s="2" t="inlineStr">
        <is>
          <t>DSO (días)</t>
        </is>
      </c>
      <c r="B20" s="4" t="n">
        <v>45</v>
      </c>
    </row>
    <row r="21">
      <c r="A21" s="2" t="inlineStr">
        <is>
          <t>DPO (días)</t>
        </is>
      </c>
      <c r="B21" s="4" t="n">
        <v>35</v>
      </c>
    </row>
    <row r="22">
      <c r="A22" s="2" t="inlineStr">
        <is>
          <t>Inventario días</t>
        </is>
      </c>
      <c r="B22" s="4" t="n">
        <v>10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Estado de Resultados Incremental</t>
        </is>
      </c>
    </row>
    <row r="3">
      <c r="A3" s="2" t="n"/>
      <c r="B3" s="6" t="inlineStr">
        <is>
          <t>Año 0</t>
        </is>
      </c>
      <c r="C3" s="6" t="inlineStr">
        <is>
          <t>Año 1</t>
        </is>
      </c>
      <c r="D3" s="6" t="inlineStr">
        <is>
          <t>Año 2</t>
        </is>
      </c>
      <c r="E3" s="6" t="inlineStr">
        <is>
          <t>Año 3</t>
        </is>
      </c>
      <c r="F3" s="6" t="inlineStr">
        <is>
          <t>Año 4</t>
        </is>
      </c>
      <c r="G3" s="6" t="inlineStr">
        <is>
          <t>Año 5</t>
        </is>
      </c>
    </row>
    <row r="4">
      <c r="A4" s="7" t="inlineStr">
        <is>
          <t>Ingresos</t>
        </is>
      </c>
      <c r="B4" s="8" t="n">
        <v>0</v>
      </c>
      <c r="C4" s="8">
        <f>Inputs!$B$13</f>
        <v/>
      </c>
      <c r="D4" s="8">
        <f>C4*(1+Inputs!$B$14)</f>
        <v/>
      </c>
      <c r="E4" s="8">
        <f>D4*(1+Inputs!$B$14)</f>
        <v/>
      </c>
      <c r="F4" s="8">
        <f>E4*(1+Inputs!$B$14)</f>
        <v/>
      </c>
      <c r="G4" s="8">
        <f>F4*(1+Inputs!$B$14)</f>
        <v/>
      </c>
    </row>
    <row r="5">
      <c r="A5" s="7" t="inlineStr">
        <is>
          <t>% crecimiento</t>
        </is>
      </c>
      <c r="B5" s="9" t="n">
        <v>0</v>
      </c>
      <c r="C5" s="9" t="n">
        <v>0</v>
      </c>
      <c r="D5" s="9">
        <f>IFERROR(D4/C4-1,0)</f>
        <v/>
      </c>
      <c r="E5" s="9">
        <f>IFERROR(E4/D4-1,0)</f>
        <v/>
      </c>
      <c r="F5" s="9">
        <f>IFERROR(F4/E4-1,0)</f>
        <v/>
      </c>
      <c r="G5" s="9">
        <f>IFERROR(G4/F4-1,0)</f>
        <v/>
      </c>
    </row>
    <row r="6">
      <c r="A6" s="7" t="inlineStr">
        <is>
          <t>COGS</t>
        </is>
      </c>
      <c r="B6" s="8">
        <f>-B4*(1-Inputs!$B$15)</f>
        <v/>
      </c>
      <c r="C6" s="8">
        <f>-C4*(1-Inputs!$B$15)</f>
        <v/>
      </c>
      <c r="D6" s="8">
        <f>-D4*(1-Inputs!$B$15)</f>
        <v/>
      </c>
      <c r="E6" s="8">
        <f>-E4*(1-Inputs!$B$15)</f>
        <v/>
      </c>
      <c r="F6" s="8">
        <f>-F4*(1-Inputs!$B$15)</f>
        <v/>
      </c>
      <c r="G6" s="8">
        <f>-G4*(1-Inputs!$B$15)</f>
        <v/>
      </c>
    </row>
    <row r="7">
      <c r="A7" s="10" t="inlineStr">
        <is>
          <t>Utilidad Bruta</t>
        </is>
      </c>
      <c r="B7" s="8">
        <f>B4+B6</f>
        <v/>
      </c>
      <c r="C7" s="8">
        <f>C4+C6</f>
        <v/>
      </c>
      <c r="D7" s="8">
        <f>D4+D6</f>
        <v/>
      </c>
      <c r="E7" s="8">
        <f>E4+E6</f>
        <v/>
      </c>
      <c r="F7" s="8">
        <f>F4+F6</f>
        <v/>
      </c>
      <c r="G7" s="8">
        <f>G4+G6</f>
        <v/>
      </c>
    </row>
    <row r="8">
      <c r="A8" s="7" t="inlineStr">
        <is>
          <t>Margen Bruto %</t>
        </is>
      </c>
      <c r="B8" s="9">
        <f>IFERROR(B7/B4,0)</f>
        <v/>
      </c>
      <c r="C8" s="9">
        <f>IFERROR(C7/C4,0)</f>
        <v/>
      </c>
      <c r="D8" s="9">
        <f>IFERROR(D7/D4,0)</f>
        <v/>
      </c>
      <c r="E8" s="9">
        <f>IFERROR(E7/E4,0)</f>
        <v/>
      </c>
      <c r="F8" s="9">
        <f>IFERROR(F7/F4,0)</f>
        <v/>
      </c>
      <c r="G8" s="9">
        <f>IFERROR(G7/G4,0)</f>
        <v/>
      </c>
    </row>
    <row r="9">
      <c r="A9" s="7" t="inlineStr">
        <is>
          <t>Opex fijo</t>
        </is>
      </c>
      <c r="B9" s="8" t="n">
        <v>0</v>
      </c>
      <c r="C9" s="8">
        <f>-Inputs!$B$16</f>
        <v/>
      </c>
      <c r="D9" s="8">
        <f>C9*(1+Inputs!$B$10)</f>
        <v/>
      </c>
      <c r="E9" s="8">
        <f>D9*(1+Inputs!$B$10)</f>
        <v/>
      </c>
      <c r="F9" s="8">
        <f>E9*(1+Inputs!$B$10)</f>
        <v/>
      </c>
      <c r="G9" s="8">
        <f>F9*(1+Inputs!$B$10)</f>
        <v/>
      </c>
    </row>
    <row r="10">
      <c r="A10" s="7" t="inlineStr">
        <is>
          <t>Opex variable</t>
        </is>
      </c>
      <c r="B10" s="8">
        <f>-B4*Inputs!$B$17</f>
        <v/>
      </c>
      <c r="C10" s="8">
        <f>-C4*Inputs!$B$17</f>
        <v/>
      </c>
      <c r="D10" s="8">
        <f>-D4*Inputs!$B$17</f>
        <v/>
      </c>
      <c r="E10" s="8">
        <f>-E4*Inputs!$B$17</f>
        <v/>
      </c>
      <c r="F10" s="8">
        <f>-F4*Inputs!$B$17</f>
        <v/>
      </c>
      <c r="G10" s="8">
        <f>-G4*Inputs!$B$17</f>
        <v/>
      </c>
    </row>
    <row r="11">
      <c r="A11" s="10" t="inlineStr">
        <is>
          <t>Opex total</t>
        </is>
      </c>
      <c r="B11" s="8">
        <f>B9+B10</f>
        <v/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  <c r="G11" s="8">
        <f>G9+G10</f>
        <v/>
      </c>
    </row>
    <row r="12">
      <c r="A12" s="10" t="inlineStr">
        <is>
          <t>EBITDA</t>
        </is>
      </c>
      <c r="B12" s="8">
        <f>B7+B11</f>
        <v/>
      </c>
      <c r="C12" s="8">
        <f>C7+C11</f>
        <v/>
      </c>
      <c r="D12" s="8">
        <f>D7+D11</f>
        <v/>
      </c>
      <c r="E12" s="8">
        <f>E7+E11</f>
        <v/>
      </c>
      <c r="F12" s="8">
        <f>F7+F11</f>
        <v/>
      </c>
      <c r="G12" s="8">
        <f>G7+G11</f>
        <v/>
      </c>
    </row>
    <row r="13">
      <c r="A13" s="7" t="inlineStr">
        <is>
          <t>Margen EBITDA %</t>
        </is>
      </c>
      <c r="B13" s="9">
        <f>IFERROR(B12/B4,0)</f>
        <v/>
      </c>
      <c r="C13" s="9">
        <f>IFERROR(C12/C4,0)</f>
        <v/>
      </c>
      <c r="D13" s="9">
        <f>IFERROR(D12/D4,0)</f>
        <v/>
      </c>
      <c r="E13" s="9">
        <f>IFERROR(E12/E4,0)</f>
        <v/>
      </c>
      <c r="F13" s="9">
        <f>IFERROR(F12/F4,0)</f>
        <v/>
      </c>
      <c r="G13" s="9">
        <f>IFERROR(G12/G4,0)</f>
        <v/>
      </c>
    </row>
    <row r="14">
      <c r="A14" s="7" t="inlineStr">
        <is>
          <t>Depreciación</t>
        </is>
      </c>
      <c r="B14" s="8" t="n">
        <v>0</v>
      </c>
      <c r="C14" s="8">
        <f>-Inputs!$B$18/Inputs!$B$20</f>
        <v/>
      </c>
      <c r="D14" s="8">
        <f>C14-(D4*Inputs!$B$19/Inputs!$B$20)</f>
        <v/>
      </c>
      <c r="E14" s="8">
        <f>D14-(E4*Inputs!$B$19/Inputs!$B$20)</f>
        <v/>
      </c>
      <c r="F14" s="8">
        <f>E14-(F4*Inputs!$B$19/Inputs!$B$20)</f>
        <v/>
      </c>
      <c r="G14" s="8">
        <f>F14-(G4*Inputs!$B$19/Inputs!$B$20)</f>
        <v/>
      </c>
    </row>
    <row r="15">
      <c r="A15" s="10" t="inlineStr">
        <is>
          <t>EBIT</t>
        </is>
      </c>
      <c r="B15" s="8">
        <f>B12+B14</f>
        <v/>
      </c>
      <c r="C15" s="8">
        <f>C12+C14</f>
        <v/>
      </c>
      <c r="D15" s="8">
        <f>D12+D14</f>
        <v/>
      </c>
      <c r="E15" s="8">
        <f>E12+E14</f>
        <v/>
      </c>
      <c r="F15" s="8">
        <f>F12+F14</f>
        <v/>
      </c>
      <c r="G15" s="8">
        <f>G12+G14</f>
        <v/>
      </c>
    </row>
    <row r="16">
      <c r="A16" s="7" t="inlineStr">
        <is>
          <t>Interés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</row>
    <row r="17">
      <c r="A17" s="10" t="inlineStr">
        <is>
          <t>EBT</t>
        </is>
      </c>
      <c r="B17" s="8">
        <f>B15+B16</f>
        <v/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</row>
    <row r="18">
      <c r="A18" s="7" t="inlineStr">
        <is>
          <t>Impuesto</t>
        </is>
      </c>
      <c r="B18" s="8">
        <f>IF(B17&gt;0,-B17*Inputs!$B$9,0)</f>
        <v/>
      </c>
      <c r="C18" s="8">
        <f>IF(C17&gt;0,-C17*Inputs!$B$9,0)</f>
        <v/>
      </c>
      <c r="D18" s="8">
        <f>IF(D17&gt;0,-D17*Inputs!$B$9,0)</f>
        <v/>
      </c>
      <c r="E18" s="8">
        <f>IF(E17&gt;0,-E17*Inputs!$B$9,0)</f>
        <v/>
      </c>
      <c r="F18" s="8">
        <f>IF(F17&gt;0,-F17*Inputs!$B$9,0)</f>
        <v/>
      </c>
      <c r="G18" s="8">
        <f>IF(G17&gt;0,-G17*Inputs!$B$9,0)</f>
        <v/>
      </c>
    </row>
    <row r="19">
      <c r="A19" s="10" t="inlineStr">
        <is>
          <t>Resultado Neto</t>
        </is>
      </c>
      <c r="B19" s="8">
        <f>B17+B18</f>
        <v/>
      </c>
      <c r="C19" s="8">
        <f>C17+C18</f>
        <v/>
      </c>
      <c r="D19" s="8">
        <f>D17+D18</f>
        <v/>
      </c>
      <c r="E19" s="8">
        <f>E17+E18</f>
        <v/>
      </c>
      <c r="F19" s="8">
        <f>F17+F18</f>
        <v/>
      </c>
      <c r="G19" s="8">
        <f>G17+G18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Flujo de Caja (Incremental)</t>
        </is>
      </c>
    </row>
    <row r="3">
      <c r="A3" s="2" t="n"/>
      <c r="B3" s="6" t="inlineStr">
        <is>
          <t>Año 0</t>
        </is>
      </c>
      <c r="C3" s="6" t="inlineStr">
        <is>
          <t>Año 1</t>
        </is>
      </c>
      <c r="D3" s="6" t="inlineStr">
        <is>
          <t>Año 2</t>
        </is>
      </c>
      <c r="E3" s="6" t="inlineStr">
        <is>
          <t>Año 3</t>
        </is>
      </c>
      <c r="F3" s="6" t="inlineStr">
        <is>
          <t>Año 4</t>
        </is>
      </c>
      <c r="G3" s="6" t="inlineStr">
        <is>
          <t>Año 5</t>
        </is>
      </c>
    </row>
    <row r="4">
      <c r="A4" s="2" t="inlineStr">
        <is>
          <t>Resultado Neto</t>
        </is>
      </c>
      <c r="B4" s="8">
        <f>IS!B19</f>
        <v/>
      </c>
      <c r="C4" s="8">
        <f>IS!C19</f>
        <v/>
      </c>
      <c r="D4" s="8">
        <f>IS!D19</f>
        <v/>
      </c>
      <c r="E4" s="8">
        <f>IS!E19</f>
        <v/>
      </c>
      <c r="F4" s="8">
        <f>IS!F19</f>
        <v/>
      </c>
      <c r="G4" s="8">
        <f>IS!G19</f>
        <v/>
      </c>
    </row>
    <row r="5">
      <c r="A5" s="2" t="inlineStr">
        <is>
          <t>+ Depreciación</t>
        </is>
      </c>
      <c r="B5" s="8">
        <f>-IS!B14</f>
        <v/>
      </c>
      <c r="C5" s="8">
        <f>-IS!C14</f>
        <v/>
      </c>
      <c r="D5" s="8">
        <f>-IS!D14</f>
        <v/>
      </c>
      <c r="E5" s="8">
        <f>-IS!E14</f>
        <v/>
      </c>
      <c r="F5" s="8">
        <f>-IS!F14</f>
        <v/>
      </c>
      <c r="G5" s="8">
        <f>-IS!G14</f>
        <v/>
      </c>
    </row>
    <row r="6">
      <c r="A6" s="2" t="inlineStr">
        <is>
          <t>Δ CxC</t>
        </is>
      </c>
      <c r="B6" s="8" t="n">
        <v>0</v>
      </c>
      <c r="C6" s="8">
        <f>-((IS!C4/365)*Inputs!$B$21-(IS!B4/365)*Inputs!$B$21)</f>
        <v/>
      </c>
      <c r="D6" s="8">
        <f>-((IS!D4/365)*Inputs!$B$21-(IS!C4/365)*Inputs!$B$21)</f>
        <v/>
      </c>
      <c r="E6" s="8">
        <f>-((IS!E4/365)*Inputs!$B$21-(IS!D4/365)*Inputs!$B$21)</f>
        <v/>
      </c>
      <c r="F6" s="8">
        <f>-((IS!F4/365)*Inputs!$B$21-(IS!E4/365)*Inputs!$B$21)</f>
        <v/>
      </c>
      <c r="G6" s="8">
        <f>-((IS!G4/365)*Inputs!$B$21-(IS!F4/365)*Inputs!$B$21)</f>
        <v/>
      </c>
    </row>
    <row r="7">
      <c r="A7" s="2" t="inlineStr">
        <is>
          <t>Δ Inventario</t>
        </is>
      </c>
      <c r="B7" s="8" t="n">
        <v>0</v>
      </c>
      <c r="C7" s="8">
        <f>-((ABS(IS!C6)/365)*Inputs!$B$23-(ABS(IS!B6)/365)*Inputs!$B$23)</f>
        <v/>
      </c>
      <c r="D7" s="8">
        <f>-((ABS(IS!D6)/365)*Inputs!$B$23-(ABS(IS!C6)/365)*Inputs!$B$23)</f>
        <v/>
      </c>
      <c r="E7" s="8">
        <f>-((ABS(IS!E6)/365)*Inputs!$B$23-(ABS(IS!D6)/365)*Inputs!$B$23)</f>
        <v/>
      </c>
      <c r="F7" s="8">
        <f>-((ABS(IS!F6)/365)*Inputs!$B$23-(ABS(IS!E6)/365)*Inputs!$B$23)</f>
        <v/>
      </c>
      <c r="G7" s="8">
        <f>-((ABS(IS!G6)/365)*Inputs!$B$23-(ABS(IS!F6)/365)*Inputs!$B$23)</f>
        <v/>
      </c>
    </row>
    <row r="8">
      <c r="A8" s="2" t="inlineStr">
        <is>
          <t>Δ CxP</t>
        </is>
      </c>
      <c r="B8" s="8" t="n">
        <v>0</v>
      </c>
      <c r="C8" s="8">
        <f>(((ABS(IS!C6)+ABS(IS!C10))/365)*Inputs!$B$22-((ABS(IS!B6)+ABS(IS!B10))/365)*Inputs!$B$22)</f>
        <v/>
      </c>
      <c r="D8" s="8">
        <f>(((ABS(IS!D6)+ABS(IS!D10))/365)*Inputs!$B$22-((ABS(IS!C6)+ABS(IS!C10))/365)*Inputs!$B$22)</f>
        <v/>
      </c>
      <c r="E8" s="8">
        <f>(((ABS(IS!E6)+ABS(IS!E10))/365)*Inputs!$B$22-((ABS(IS!D6)+ABS(IS!D10))/365)*Inputs!$B$22)</f>
        <v/>
      </c>
      <c r="F8" s="8">
        <f>(((ABS(IS!F6)+ABS(IS!F10))/365)*Inputs!$B$22-((ABS(IS!E6)+ABS(IS!E10))/365)*Inputs!$B$22)</f>
        <v/>
      </c>
      <c r="G8" s="8">
        <f>(((ABS(IS!G6)+ABS(IS!G10))/365)*Inputs!$B$22-((ABS(IS!F6)+ABS(IS!F10))/365)*Inputs!$B$22)</f>
        <v/>
      </c>
    </row>
    <row r="9">
      <c r="A9" s="2" t="inlineStr">
        <is>
          <t>Flujo Operacional (CFO)</t>
        </is>
      </c>
      <c r="B9" s="8">
        <f>SUM(B4:B8)</f>
        <v/>
      </c>
      <c r="C9" s="8">
        <f>SUM(C4:C8)</f>
        <v/>
      </c>
      <c r="D9" s="8">
        <f>SUM(D4:D8)</f>
        <v/>
      </c>
      <c r="E9" s="8">
        <f>SUM(E4:E8)</f>
        <v/>
      </c>
      <c r="F9" s="8">
        <f>SUM(F4:F8)</f>
        <v/>
      </c>
      <c r="G9" s="8">
        <f>SUM(G4:G8)</f>
        <v/>
      </c>
    </row>
    <row r="10">
      <c r="A10" s="2" t="inlineStr">
        <is>
          <t>CAPEX</t>
        </is>
      </c>
      <c r="B10" s="8">
        <f>-Inputs!$B$18</f>
        <v/>
      </c>
      <c r="C10" s="8">
        <f>-IS!C4*Inputs!$B$19</f>
        <v/>
      </c>
      <c r="D10" s="8">
        <f>-IS!D4*Inputs!$B$19</f>
        <v/>
      </c>
      <c r="E10" s="8">
        <f>-IS!E4*Inputs!$B$19</f>
        <v/>
      </c>
      <c r="F10" s="8">
        <f>-IS!F4*Inputs!$B$19</f>
        <v/>
      </c>
      <c r="G10" s="8">
        <f>-IS!G4*Inputs!$B$19</f>
        <v/>
      </c>
    </row>
    <row r="11">
      <c r="A11" s="2" t="inlineStr">
        <is>
          <t>Flujo de Caja Libre (FCF)</t>
        </is>
      </c>
      <c r="B11" s="8">
        <f>B9+B10</f>
        <v/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  <c r="G11" s="8">
        <f>G9+G10</f>
        <v/>
      </c>
    </row>
    <row r="12">
      <c r="A12" s="2" t="inlineStr">
        <is>
          <t>Financiamiento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</row>
    <row r="13">
      <c r="A13" s="2" t="inlineStr">
        <is>
          <t>Flujo Neto</t>
        </is>
      </c>
      <c r="B13" s="8">
        <f>B11+B12</f>
        <v/>
      </c>
      <c r="C13" s="8">
        <f>C11+C12</f>
        <v/>
      </c>
      <c r="D13" s="8">
        <f>D11+D12</f>
        <v/>
      </c>
      <c r="E13" s="8">
        <f>E11+E12</f>
        <v/>
      </c>
      <c r="F13" s="8">
        <f>F11+F12</f>
        <v/>
      </c>
      <c r="G13" s="8">
        <f>G11+G12</f>
        <v/>
      </c>
    </row>
    <row r="14">
      <c r="A14" s="2" t="inlineStr">
        <is>
          <t>Caja Acumulada</t>
        </is>
      </c>
      <c r="B14" s="8">
        <f>B13</f>
        <v/>
      </c>
      <c r="C14" s="8">
        <f>B14+C13</f>
        <v/>
      </c>
      <c r="D14" s="8">
        <f>C14+D13</f>
        <v/>
      </c>
      <c r="E14" s="8">
        <f>D14+E13</f>
        <v/>
      </c>
      <c r="F14" s="8">
        <f>E14+F13</f>
        <v/>
      </c>
      <c r="G14" s="8">
        <f>F14+G13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Balance General (Incremental)</t>
        </is>
      </c>
    </row>
    <row r="3">
      <c r="A3" s="2" t="n"/>
      <c r="B3" s="6" t="inlineStr">
        <is>
          <t>Año 0</t>
        </is>
      </c>
      <c r="C3" s="6" t="inlineStr">
        <is>
          <t>Año 1</t>
        </is>
      </c>
      <c r="D3" s="6" t="inlineStr">
        <is>
          <t>Año 2</t>
        </is>
      </c>
      <c r="E3" s="6" t="inlineStr">
        <is>
          <t>Año 3</t>
        </is>
      </c>
      <c r="F3" s="6" t="inlineStr">
        <is>
          <t>Año 4</t>
        </is>
      </c>
      <c r="G3" s="6" t="inlineStr">
        <is>
          <t>Año 5</t>
        </is>
      </c>
    </row>
    <row r="4">
      <c r="A4" s="2" t="inlineStr">
        <is>
          <t>Caja</t>
        </is>
      </c>
      <c r="B4" s="8">
        <f>CF!B14</f>
        <v/>
      </c>
      <c r="C4" s="8">
        <f>CF!C14</f>
        <v/>
      </c>
      <c r="D4" s="8">
        <f>CF!D14</f>
        <v/>
      </c>
      <c r="E4" s="8">
        <f>CF!E14</f>
        <v/>
      </c>
      <c r="F4" s="8">
        <f>CF!F14</f>
        <v/>
      </c>
      <c r="G4" s="8">
        <f>CF!G14</f>
        <v/>
      </c>
    </row>
    <row r="5">
      <c r="A5" s="2" t="inlineStr">
        <is>
          <t>CxC</t>
        </is>
      </c>
      <c r="B5" s="8">
        <f>(IS!B4/365)*Inputs!$B$21</f>
        <v/>
      </c>
      <c r="C5" s="8">
        <f>(IS!C4/365)*Inputs!$B$21</f>
        <v/>
      </c>
      <c r="D5" s="8">
        <f>(IS!D4/365)*Inputs!$B$21</f>
        <v/>
      </c>
      <c r="E5" s="8">
        <f>(IS!E4/365)*Inputs!$B$21</f>
        <v/>
      </c>
      <c r="F5" s="8">
        <f>(IS!F4/365)*Inputs!$B$21</f>
        <v/>
      </c>
      <c r="G5" s="8">
        <f>(IS!G4/365)*Inputs!$B$21</f>
        <v/>
      </c>
    </row>
    <row r="6">
      <c r="A6" s="2" t="inlineStr">
        <is>
          <t>Inventario</t>
        </is>
      </c>
      <c r="B6" s="8">
        <f>(ABS(IS!B6)/365)*Inputs!$B$23</f>
        <v/>
      </c>
      <c r="C6" s="8">
        <f>(ABS(IS!C6)/365)*Inputs!$B$23</f>
        <v/>
      </c>
      <c r="D6" s="8">
        <f>(ABS(IS!D6)/365)*Inputs!$B$23</f>
        <v/>
      </c>
      <c r="E6" s="8">
        <f>(ABS(IS!E6)/365)*Inputs!$B$23</f>
        <v/>
      </c>
      <c r="F6" s="8">
        <f>(ABS(IS!F6)/365)*Inputs!$B$23</f>
        <v/>
      </c>
      <c r="G6" s="8">
        <f>(ABS(IS!G6)/365)*Inputs!$B$23</f>
        <v/>
      </c>
    </row>
    <row r="7">
      <c r="A7" s="2" t="inlineStr">
        <is>
          <t>PP&amp;E neto</t>
        </is>
      </c>
      <c r="B7" s="8" t="n">
        <v>0</v>
      </c>
      <c r="C7" s="8">
        <f>Inputs!$B$18+IS!C14</f>
        <v/>
      </c>
      <c r="D7" s="8">
        <f>MAX(0,C7-ABS(IS!D14)+ABS(CF!D10))</f>
        <v/>
      </c>
      <c r="E7" s="8">
        <f>MAX(0,D7-ABS(IS!E14)+ABS(CF!E10))</f>
        <v/>
      </c>
      <c r="F7" s="8">
        <f>MAX(0,E7-ABS(IS!F14)+ABS(CF!F10))</f>
        <v/>
      </c>
      <c r="G7" s="8">
        <f>MAX(0,F7-ABS(IS!G14)+ABS(CF!G10))</f>
        <v/>
      </c>
    </row>
    <row r="8">
      <c r="A8" s="2" t="inlineStr">
        <is>
          <t>Total Activos</t>
        </is>
      </c>
      <c r="B8" s="8">
        <f>SUM(B4:B7)</f>
        <v/>
      </c>
      <c r="C8" s="8">
        <f>SUM(C4:C7)</f>
        <v/>
      </c>
      <c r="D8" s="8">
        <f>SUM(D4:D7)</f>
        <v/>
      </c>
      <c r="E8" s="8">
        <f>SUM(E4:E7)</f>
        <v/>
      </c>
      <c r="F8" s="8">
        <f>SUM(F4:F7)</f>
        <v/>
      </c>
      <c r="G8" s="8">
        <f>SUM(G4:G7)</f>
        <v/>
      </c>
    </row>
    <row r="9">
      <c r="A9" s="2" t="inlineStr">
        <is>
          <t>CxP</t>
        </is>
      </c>
      <c r="B9" s="8">
        <f>((ABS(IS!B6)+ABS(IS!B10))/365)*Inputs!$B$22</f>
        <v/>
      </c>
      <c r="C9" s="8">
        <f>((ABS(IS!C6)+ABS(IS!C10))/365)*Inputs!$B$22</f>
        <v/>
      </c>
      <c r="D9" s="8">
        <f>((ABS(IS!D6)+ABS(IS!D10))/365)*Inputs!$B$22</f>
        <v/>
      </c>
      <c r="E9" s="8">
        <f>((ABS(IS!E6)+ABS(IS!E10))/365)*Inputs!$B$22</f>
        <v/>
      </c>
      <c r="F9" s="8">
        <f>((ABS(IS!F6)+ABS(IS!F10))/365)*Inputs!$B$22</f>
        <v/>
      </c>
      <c r="G9" s="8">
        <f>((ABS(IS!G6)+ABS(IS!G10))/365)*Inputs!$B$22</f>
        <v/>
      </c>
    </row>
    <row r="10">
      <c r="A10" s="2" t="inlineStr">
        <is>
          <t>Deuda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</row>
    <row r="11">
      <c r="A11" s="2" t="inlineStr">
        <is>
          <t>Total Pasivos</t>
        </is>
      </c>
      <c r="B11" s="8">
        <f>SUM(B9:B10)</f>
        <v/>
      </c>
      <c r="C11" s="8">
        <f>SUM(C9:C10)</f>
        <v/>
      </c>
      <c r="D11" s="8">
        <f>SUM(D9:D10)</f>
        <v/>
      </c>
      <c r="E11" s="8">
        <f>SUM(E9:E10)</f>
        <v/>
      </c>
      <c r="F11" s="8">
        <f>SUM(F9:F10)</f>
        <v/>
      </c>
      <c r="G11" s="8">
        <f>SUM(G9:G10)</f>
        <v/>
      </c>
    </row>
    <row r="12">
      <c r="A12" s="2" t="inlineStr">
        <is>
          <t>Capital + Utilidades Acum.</t>
        </is>
      </c>
      <c r="B12" s="8" t="n">
        <v>0</v>
      </c>
      <c r="C12" s="8">
        <f>B12+IS!C19</f>
        <v/>
      </c>
      <c r="D12" s="8">
        <f>C12+IS!D19</f>
        <v/>
      </c>
      <c r="E12" s="8">
        <f>D12+IS!E19</f>
        <v/>
      </c>
      <c r="F12" s="8">
        <f>E12+IS!F19</f>
        <v/>
      </c>
      <c r="G12" s="8">
        <f>F12+IS!G19</f>
        <v/>
      </c>
    </row>
    <row r="13">
      <c r="A13" s="2" t="inlineStr">
        <is>
          <t>Total Patrimonio</t>
        </is>
      </c>
      <c r="B13" s="8">
        <f>B12</f>
        <v/>
      </c>
      <c r="C13" s="8">
        <f>C12</f>
        <v/>
      </c>
      <c r="D13" s="8">
        <f>D12</f>
        <v/>
      </c>
      <c r="E13" s="8">
        <f>E12</f>
        <v/>
      </c>
      <c r="F13" s="8">
        <f>F12</f>
        <v/>
      </c>
      <c r="G13" s="8">
        <f>G12</f>
        <v/>
      </c>
    </row>
    <row r="14">
      <c r="A14" s="2" t="inlineStr">
        <is>
          <t>Pasivos + Patrimonio</t>
        </is>
      </c>
      <c r="B14" s="8">
        <f>B11+B13</f>
        <v/>
      </c>
      <c r="C14" s="8">
        <f>C11+C13</f>
        <v/>
      </c>
      <c r="D14" s="8">
        <f>D11+D13</f>
        <v/>
      </c>
      <c r="E14" s="8">
        <f>E11+E13</f>
        <v/>
      </c>
      <c r="F14" s="8">
        <f>F11+F13</f>
        <v/>
      </c>
      <c r="G14" s="8">
        <f>G11+G13</f>
        <v/>
      </c>
    </row>
    <row r="15">
      <c r="A15" s="2" t="inlineStr">
        <is>
          <t>Check Cuadre</t>
        </is>
      </c>
      <c r="B15" s="8">
        <f>B8-B14</f>
        <v/>
      </c>
      <c r="C15" s="8">
        <f>C8-C14</f>
        <v/>
      </c>
      <c r="D15" s="8">
        <f>D8-D14</f>
        <v/>
      </c>
      <c r="E15" s="8">
        <f>E8-E14</f>
        <v/>
      </c>
      <c r="F15" s="8">
        <f>F8-F14</f>
        <v/>
      </c>
      <c r="G15" s="8">
        <f>G8-G14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KPIs &amp; Evaluación</t>
        </is>
      </c>
    </row>
    <row r="3">
      <c r="A3" s="2" t="n"/>
      <c r="B3" s="6" t="inlineStr">
        <is>
          <t>Año 1</t>
        </is>
      </c>
      <c r="C3" s="6" t="inlineStr">
        <is>
          <t>Año 2</t>
        </is>
      </c>
      <c r="D3" s="6" t="inlineStr">
        <is>
          <t>Año 3</t>
        </is>
      </c>
      <c r="E3" s="6" t="inlineStr">
        <is>
          <t>Año 4</t>
        </is>
      </c>
      <c r="F3" s="6" t="inlineStr">
        <is>
          <t>Año 5</t>
        </is>
      </c>
    </row>
    <row r="4">
      <c r="A4" s="2" t="inlineStr">
        <is>
          <t>Ingresos</t>
        </is>
      </c>
      <c r="B4" s="8">
        <f>IS!C4</f>
        <v/>
      </c>
      <c r="C4" s="8">
        <f>IS!D4</f>
        <v/>
      </c>
      <c r="D4" s="8">
        <f>IS!E4</f>
        <v/>
      </c>
      <c r="E4" s="8">
        <f>IS!F4</f>
        <v/>
      </c>
      <c r="F4" s="8">
        <f>IS!G4</f>
        <v/>
      </c>
    </row>
    <row r="5">
      <c r="A5" s="2" t="inlineStr">
        <is>
          <t>EBITDA</t>
        </is>
      </c>
      <c r="B5" s="8">
        <f>IS!C12</f>
        <v/>
      </c>
      <c r="C5" s="8">
        <f>IS!D12</f>
        <v/>
      </c>
      <c r="D5" s="8">
        <f>IS!E12</f>
        <v/>
      </c>
      <c r="E5" s="8">
        <f>IS!F12</f>
        <v/>
      </c>
      <c r="F5" s="8">
        <f>IS!G12</f>
        <v/>
      </c>
    </row>
    <row r="6">
      <c r="A6" s="2" t="inlineStr">
        <is>
          <t>Margen EBITDA %</t>
        </is>
      </c>
      <c r="B6" s="9">
        <f>IS!C13</f>
        <v/>
      </c>
      <c r="C6" s="9">
        <f>IS!D13</f>
        <v/>
      </c>
      <c r="D6" s="9">
        <f>IS!E13</f>
        <v/>
      </c>
      <c r="E6" s="9">
        <f>IS!F13</f>
        <v/>
      </c>
      <c r="F6" s="9">
        <f>IS!G13</f>
        <v/>
      </c>
    </row>
    <row r="7">
      <c r="A7" s="2" t="inlineStr">
        <is>
          <t>Resultado Neto</t>
        </is>
      </c>
      <c r="B7" s="8">
        <f>IS!C19</f>
        <v/>
      </c>
      <c r="C7" s="8">
        <f>IS!D19</f>
        <v/>
      </c>
      <c r="D7" s="8">
        <f>IS!E19</f>
        <v/>
      </c>
      <c r="E7" s="8">
        <f>IS!F19</f>
        <v/>
      </c>
      <c r="F7" s="8">
        <f>IS!G19</f>
        <v/>
      </c>
    </row>
    <row r="8">
      <c r="A8" s="2" t="inlineStr">
        <is>
          <t>FCF</t>
        </is>
      </c>
      <c r="B8" s="8">
        <f>CF!C11</f>
        <v/>
      </c>
      <c r="C8" s="8">
        <f>CF!D11</f>
        <v/>
      </c>
      <c r="D8" s="8">
        <f>CF!E11</f>
        <v/>
      </c>
      <c r="E8" s="8">
        <f>CF!F11</f>
        <v/>
      </c>
      <c r="F8" s="8">
        <f>CF!G11</f>
        <v/>
      </c>
    </row>
    <row r="9">
      <c r="A9" s="2" t="inlineStr">
        <is>
          <t>Caja acumulada</t>
        </is>
      </c>
      <c r="B9" s="8">
        <f>CF!C14</f>
        <v/>
      </c>
      <c r="C9" s="8">
        <f>CF!D14</f>
        <v/>
      </c>
      <c r="D9" s="8">
        <f>CF!E14</f>
        <v/>
      </c>
      <c r="E9" s="8">
        <f>CF!F14</f>
        <v/>
      </c>
      <c r="F9" s="8">
        <f>CF!G14</f>
        <v/>
      </c>
    </row>
    <row r="10">
      <c r="A10" s="2" t="inlineStr">
        <is>
          <t>ROIC simple %</t>
        </is>
      </c>
      <c r="B10" s="9">
        <f>IFERROR(IS!C15/(ABS(BS!C8-BS!C9)),0)</f>
        <v/>
      </c>
      <c r="C10" s="9">
        <f>IFERROR(IS!D15/(ABS(BS!D8-BS!D9)),0)</f>
        <v/>
      </c>
      <c r="D10" s="9">
        <f>IFERROR(IS!E15/(ABS(BS!E8-BS!E9)),0)</f>
        <v/>
      </c>
      <c r="E10" s="9">
        <f>IFERROR(IS!F15/(ABS(BS!F8-BS!F9)),0)</f>
        <v/>
      </c>
      <c r="F10" s="9">
        <f>IFERROR(IS!G15/(ABS(BS!G8-BS!G9)),0)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4" max="4"/>
    <col width="18" customWidth="1" min="5" max="5"/>
  </cols>
  <sheetData>
    <row r="1">
      <c r="A1" s="11" t="inlineStr">
        <is>
          <t>Business Case Summary</t>
        </is>
      </c>
    </row>
    <row r="3">
      <c r="A3" s="10" t="inlineStr">
        <is>
          <t>VAN (NPV)</t>
        </is>
      </c>
      <c r="B3" s="8">
        <f>NPV(Inputs!$B$8,CF!C11:CF!G11)+CF!B11</f>
        <v/>
      </c>
      <c r="D3" t="inlineStr">
        <is>
          <t>FCF por año</t>
        </is>
      </c>
    </row>
    <row r="4">
      <c r="A4" s="10" t="inlineStr">
        <is>
          <t>TIR (IRR)</t>
        </is>
      </c>
      <c r="B4" s="9">
        <f>IRR(CF!B11:G11)</f>
        <v/>
      </c>
      <c r="D4" t="inlineStr">
        <is>
          <t>Año 0</t>
        </is>
      </c>
      <c r="E4">
        <f>CF!C11</f>
        <v/>
      </c>
    </row>
    <row r="5">
      <c r="A5" s="10" t="inlineStr">
        <is>
          <t>Payback (años)</t>
        </is>
      </c>
      <c r="B5" s="12">
        <f>MATCH(TRUE,CF!B14:G14&gt;=0,0)-1</f>
        <v/>
      </c>
      <c r="D5" t="inlineStr">
        <is>
          <t>Año 1</t>
        </is>
      </c>
      <c r="E5">
        <f>CF!D11</f>
        <v/>
      </c>
    </row>
    <row r="6">
      <c r="A6" s="10" t="inlineStr">
        <is>
          <t>Año break-even EBITDA</t>
        </is>
      </c>
      <c r="B6" s="12">
        <f>MATCH(TRUE,IS!B12:G12&gt;0,0)-1</f>
        <v/>
      </c>
      <c r="D6" t="inlineStr">
        <is>
          <t>Año 2</t>
        </is>
      </c>
      <c r="E6">
        <f>CF!E11</f>
        <v/>
      </c>
    </row>
    <row r="7">
      <c r="A7" s="10" t="inlineStr">
        <is>
          <t>Recomendación</t>
        </is>
      </c>
      <c r="B7" s="2">
        <f>IF(AND(B3&gt;0,B4&gt;Inputs!$B$8),"GO","REVISAR")</f>
        <v/>
      </c>
      <c r="D7" t="inlineStr">
        <is>
          <t>Año 3</t>
        </is>
      </c>
      <c r="E7">
        <f>CF!F11</f>
        <v/>
      </c>
    </row>
    <row r="8">
      <c r="A8" s="10" t="inlineStr">
        <is>
          <t>Comentarios</t>
        </is>
      </c>
      <c r="B8" s="2" t="inlineStr">
        <is>
          <t>Ajustar escenarios y revisar sensibilidad de drivers.</t>
        </is>
      </c>
      <c r="D8" t="inlineStr">
        <is>
          <t>Año 4</t>
        </is>
      </c>
      <c r="E8">
        <f>CF!G11</f>
        <v/>
      </c>
    </row>
    <row r="9">
      <c r="D9" t="inlineStr">
        <is>
          <t>Año 5</t>
        </is>
      </c>
      <c r="E9">
        <f>CF!H11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3" t="inlineStr">
        <is>
          <t>Vista Gerencial</t>
        </is>
      </c>
    </row>
    <row r="3">
      <c r="A3" s="14" t="inlineStr">
        <is>
          <t>Ingresos Año 1</t>
        </is>
      </c>
      <c r="B3" s="15" t="n"/>
      <c r="C3" s="14" t="inlineStr">
        <is>
          <t>EBITDA Año 1</t>
        </is>
      </c>
      <c r="D3" s="15" t="n"/>
      <c r="E3" s="14" t="inlineStr">
        <is>
          <t>VAN</t>
        </is>
      </c>
      <c r="F3" s="15" t="n"/>
      <c r="G3" s="14" t="inlineStr">
        <is>
          <t>TIR</t>
        </is>
      </c>
      <c r="H3" s="15" t="n"/>
    </row>
    <row r="4">
      <c r="A4" s="16">
        <f>IS!C4</f>
        <v/>
      </c>
      <c r="B4" s="17" t="n"/>
      <c r="C4" s="16">
        <f>IS!C12</f>
        <v/>
      </c>
      <c r="D4" s="17" t="n"/>
      <c r="E4" s="16">
        <f>Business_Case!B3</f>
        <v/>
      </c>
      <c r="F4" s="17" t="n"/>
      <c r="G4" s="18">
        <f>Business_Case!B4</f>
        <v/>
      </c>
      <c r="H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8">
      <c r="A8" t="inlineStr">
        <is>
          <t>Evolución (Ingresos / EBITDA / FCF)</t>
        </is>
      </c>
    </row>
    <row r="9">
      <c r="A9" t="inlineStr">
        <is>
          <t>Año 1</t>
        </is>
      </c>
      <c r="B9">
        <f>KPIs!B4</f>
        <v/>
      </c>
      <c r="C9">
        <f>KPIs!B5</f>
        <v/>
      </c>
      <c r="D9">
        <f>KPIs!B8</f>
        <v/>
      </c>
    </row>
    <row r="10">
      <c r="A10" t="inlineStr">
        <is>
          <t>Año 2</t>
        </is>
      </c>
      <c r="B10">
        <f>KPIs!C4</f>
        <v/>
      </c>
      <c r="C10">
        <f>KPIs!C5</f>
        <v/>
      </c>
      <c r="D10">
        <f>KPIs!C8</f>
        <v/>
      </c>
    </row>
    <row r="11">
      <c r="A11" t="inlineStr">
        <is>
          <t>Año 3</t>
        </is>
      </c>
      <c r="B11">
        <f>KPIs!D4</f>
        <v/>
      </c>
      <c r="C11">
        <f>KPIs!D5</f>
        <v/>
      </c>
      <c r="D11">
        <f>KPIs!D8</f>
        <v/>
      </c>
    </row>
    <row r="12">
      <c r="A12" t="inlineStr">
        <is>
          <t>Año 4</t>
        </is>
      </c>
      <c r="B12">
        <f>KPIs!E4</f>
        <v/>
      </c>
      <c r="C12">
        <f>KPIs!E5</f>
        <v/>
      </c>
      <c r="D12">
        <f>KPIs!E8</f>
        <v/>
      </c>
    </row>
    <row r="13">
      <c r="A13" t="inlineStr">
        <is>
          <t>Año 5</t>
        </is>
      </c>
      <c r="B13">
        <f>KPIs!F4</f>
        <v/>
      </c>
      <c r="C13">
        <f>KPIs!F5</f>
        <v/>
      </c>
      <c r="D13">
        <f>KPIs!F8</f>
        <v/>
      </c>
    </row>
  </sheetData>
  <mergeCells count="8">
    <mergeCell ref="C4:D5"/>
    <mergeCell ref="A4:B5"/>
    <mergeCell ref="G4:H5"/>
    <mergeCell ref="E4:F5"/>
    <mergeCell ref="C3:D3"/>
    <mergeCell ref="A3:B3"/>
    <mergeCell ref="G3:H3"/>
    <mergeCell ref="E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2026-02-23T16:49:37Z</dcterms:created>
  <dcterms:modified xmlns:dcterms="http://purl.org/dc/terms/" xmlns:xsi="http://www.w3.org/2001/XMLSchema-instance" xsi:type="dcterms:W3CDTF">2026-02-23T16:49:37Z</dcterms:modified>
</cp:coreProperties>
</file>